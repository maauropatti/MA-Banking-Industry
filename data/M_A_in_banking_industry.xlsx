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codeName="Questa_cartella_di_lavoro" defaultThemeVersion="166925"/>
  <mc:AlternateContent xmlns:mc="http://schemas.openxmlformats.org/markup-compatibility/2006">
    <mc:Choice Requires="x15">
      <x15ac:absPath xmlns:x15ac="http://schemas.microsoft.com/office/spreadsheetml/2010/11/ac" url="/Users/mauropatti/Desktop/"/>
    </mc:Choice>
  </mc:AlternateContent>
  <xr:revisionPtr revIDLastSave="0" documentId="8_{EBD34A3B-8E90-1849-88C9-80B729ED4F7E}" xr6:coauthVersionLast="47" xr6:coauthVersionMax="47" xr10:uidLastSave="{00000000-0000-0000-0000-000000000000}"/>
  <bookViews>
    <workbookView xWindow="0" yWindow="600" windowWidth="28400" windowHeight="15580" xr2:uid="{86A16D84-9B9E-674F-9D19-3516FD042146}"/>
  </bookViews>
  <sheets>
    <sheet name="Indice" sheetId="4" r:id="rId1"/>
    <sheet name="Performance di Mercato" sheetId="7" r:id="rId2"/>
    <sheet name="Drivers di valutazione" sheetId="6" r:id="rId3"/>
    <sheet name="OPS su BG" sheetId="2" r:id="rId4"/>
    <sheet name="Fonti"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7" i="2" l="1"/>
  <c r="M140" i="2"/>
  <c r="D72" i="2"/>
  <c r="D81" i="2"/>
  <c r="D69" i="2"/>
  <c r="C91" i="2"/>
  <c r="C90" i="2"/>
  <c r="C88" i="2"/>
  <c r="C89" i="2"/>
  <c r="D60" i="2"/>
  <c r="B93" i="2"/>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C93" i="2" l="1"/>
  <c r="B83" i="2" l="1"/>
  <c r="D80" i="2"/>
  <c r="E80" i="2" s="1"/>
  <c r="C83" i="2" l="1"/>
  <c r="D79" i="2"/>
  <c r="D83" i="2" l="1"/>
  <c r="E79" i="2"/>
  <c r="E83" i="2" s="1"/>
  <c r="D57" i="2"/>
  <c r="E57" i="2" s="1"/>
  <c r="D58" i="2"/>
  <c r="E58" i="2" s="1"/>
  <c r="D59" i="2"/>
  <c r="E59" i="2" s="1"/>
  <c r="B62" i="2"/>
  <c r="B70" i="2"/>
  <c r="B73" i="2"/>
  <c r="D68" i="2"/>
  <c r="E68" i="2" s="1"/>
  <c r="D67" i="2"/>
  <c r="E67" i="2" s="1"/>
  <c r="D66" i="2"/>
  <c r="E66" i="2" s="1"/>
  <c r="C73" i="2"/>
  <c r="E70" i="2" l="1"/>
  <c r="E62" i="2"/>
  <c r="C62" i="2"/>
  <c r="D71" i="2"/>
  <c r="D62" i="2"/>
  <c r="B75" i="2"/>
  <c r="B85" i="2" s="1"/>
  <c r="D70" i="2"/>
  <c r="C70" i="2"/>
  <c r="C75" i="2" s="1"/>
  <c r="B95" i="2" l="1"/>
  <c r="D73" i="2"/>
  <c r="E71" i="2"/>
  <c r="E73" i="2" s="1"/>
  <c r="E75" i="2" s="1"/>
  <c r="E85" i="2" s="1"/>
  <c r="E95" i="2" s="1"/>
  <c r="C85" i="2"/>
  <c r="C95" i="2" s="1"/>
  <c r="D75" i="2"/>
  <c r="D85" i="2" s="1"/>
  <c r="D95" i="2" s="1"/>
  <c r="B97" i="2" l="1"/>
  <c r="B99" i="2" s="1"/>
  <c r="E97" i="2"/>
  <c r="E99" i="2" s="1"/>
  <c r="C154" i="2" s="1"/>
  <c r="M154" i="2" s="1"/>
  <c r="T143" i="2" s="1"/>
  <c r="D97" i="2"/>
  <c r="D99" i="2" s="1"/>
  <c r="C97" i="2"/>
  <c r="C99" i="2" s="1"/>
</calcChain>
</file>

<file path=xl/sharedStrings.xml><?xml version="1.0" encoding="utf-8"?>
<sst xmlns="http://schemas.openxmlformats.org/spreadsheetml/2006/main" count="340" uniqueCount="225">
  <si>
    <t>tot costi HR</t>
  </si>
  <si>
    <t>HR rightsizing delle nuove entità</t>
  </si>
  <si>
    <t xml:space="preserve">tot costi SG&amp;A </t>
  </si>
  <si>
    <t>Crescita (%)</t>
  </si>
  <si>
    <t>Razionalizzazione costi terzi e consulenze</t>
  </si>
  <si>
    <t>Integrazione sistemi IT</t>
  </si>
  <si>
    <t>Efficenze operative e di scala</t>
  </si>
  <si>
    <t>TOT sinergie di ricavi</t>
  </si>
  <si>
    <t>Adozione delle best practises</t>
  </si>
  <si>
    <t>Cross-selling dei prodotti</t>
  </si>
  <si>
    <t>Tot  sinergie di funding</t>
  </si>
  <si>
    <t>Tot sinergie di costo</t>
  </si>
  <si>
    <t>Sinergie di costo</t>
  </si>
  <si>
    <t>Sinergie di ricavi</t>
  </si>
  <si>
    <t>ALM – Asset &amp; Liability Management</t>
  </si>
  <si>
    <t>Lower Cost of Funding</t>
  </si>
  <si>
    <t>Mediobanca</t>
  </si>
  <si>
    <t>Banca Generali</t>
  </si>
  <si>
    <t>Calcolo delle sinergie</t>
  </si>
  <si>
    <t>Assunzioni</t>
  </si>
  <si>
    <t>P/E 22</t>
  </si>
  <si>
    <t>P/E 23</t>
  </si>
  <si>
    <t>P/E 24</t>
  </si>
  <si>
    <t>P/E 25</t>
  </si>
  <si>
    <t>P/E 26</t>
  </si>
  <si>
    <t>P/E 27</t>
  </si>
  <si>
    <t>P/E 28</t>
  </si>
  <si>
    <t>P/BV 22</t>
  </si>
  <si>
    <t>P/BV 23</t>
  </si>
  <si>
    <t>P/BV 24</t>
  </si>
  <si>
    <t>P/BV 25</t>
  </si>
  <si>
    <t>P/BV 26</t>
  </si>
  <si>
    <t>P/BV 27</t>
  </si>
  <si>
    <t>P/BV 28</t>
  </si>
  <si>
    <t>FinecoBank</t>
  </si>
  <si>
    <t>Banca Mediolanum</t>
  </si>
  <si>
    <t>Intesa Sanpaolo</t>
  </si>
  <si>
    <t>UniCredit</t>
  </si>
  <si>
    <t>Banco BPM</t>
  </si>
  <si>
    <t>Sinergie di funding</t>
  </si>
  <si>
    <t>Costi di integrazione</t>
  </si>
  <si>
    <t>EBIT Differenziale</t>
  </si>
  <si>
    <t>Corporate tax</t>
  </si>
  <si>
    <t>Net Income differenziale</t>
  </si>
  <si>
    <t>Calcolo delle sinergie (K) e dei costi di integrazione</t>
  </si>
  <si>
    <t>Totale sinergie dell'operazione</t>
  </si>
  <si>
    <t>Totale costi di integrazione</t>
  </si>
  <si>
    <t>Migrazione IT</t>
  </si>
  <si>
    <t>Altri costi per sinergie</t>
  </si>
  <si>
    <t>Incentivi e retentions</t>
  </si>
  <si>
    <t>Costi per contenziosi</t>
  </si>
  <si>
    <t>"Le sinergie stimate sono funzionali a ottenere tre effetti strategici misurabili: 1) Aumento della redditività complessiva del gruppo (ROTE previsto: &gt;20%, da 14%); 2) ribilanciamento della generazione di utile verso il Wealth Management (dal &lt;20% al 50% del totale netto consolidato); 3) ottimizzazione della struttura di capitale con CET1 stabile al 14%.</t>
  </si>
  <si>
    <t xml:space="preserve">
Le Funding Synergies (65M€) si generano dalla possibilità di ottimizzare la struttura di funding sfruttando la base di depositi retail di Banca Generali (€40 mld) e riducendo il ricorso al funding wholesale (più oneroso del funding retail per costo di mercato superiore e maggiore volatilità): i depositi totali passeranno da €28 miliardi (Mediobanca stand-alone) a €40 miliardi combined, mentre il funding complessivo aumenterà da €64 a €76 miliardi.Significativo il calo del Loan-to-Deposit Ratio, che passa da 1,9x a 1,4x, indicando una maggiore autosufficienza della raccolta attraverso depositi retail, che consente una riduzione stimata del cost of funding. Questa maggiore efficienza comunque porta benefici anche a livello di RWA, in quanto il gruppo combined beneficierà di una riduzione della RWA density al di sotto del 40%, rispetto al 48% pre-deal di Mediobanca e questo migliora sia il CET1 ratio previsto che il ROTE.
Le Revenues Synergies derivano principalmente da: 1) Cross-selling di prodotti ad alto margine della divisione CIB su Banca Generali; 2) Ottimizzazione dell'offerta commerciale Banco Generali su Mediobanca WM. Si aumenta la marginalità per cliente e per consulente legata ad un ampliamento dell'offerta dei prodotti &gt;&gt; se ai clienti HNWI che oggi magar hanno solo fondi tradizionali vengono offerti prodotti più sofisticati, la revenue unitaria su quel cliente cresce ; se un consulente riesce, invece, a vendere prodotti a valore aggiunto, la sua produttività aumenta  e questo migliore il 'Revenue per head' (=KPI chiave nelle divisioni WM). Tutto questo è rilevante per l'operazione perchè si mira a mettere a disposizione della Rete di Banca Generali (orientata ai clienti HNWI) prodotti ad alta marginalità sviluppati da MB CIB + si mira a portare le pratiche commerciali più efficaci di Banca Generali (come costruzione di portafogli efficienti, adozione di advisory continua) &gt;&gt; SLIDE 8 ppt OPS MB - BG.
Tuttavia, il rischio di execution sulle sinergie di ricavo riguarda la capacità effettiva di implementare l'integrazione operativa e commerciale tra i due modelli diversi. Considerata, quindi, la possibilità di realizzare cross-selling tra i prodotti CIB di MB e la clientela servita da BG, oltre che alla diffusione di best practice tra le due strutture, si deve stare attenti ai rischi che sorgono, legati alla possibilità di mancanza di incentivi economici a promuovere prodotti CIB di MB da parte di BG, se questi comportano remunerazioni inferiori, e legati alla non totale conoscenza dei prodotti e dei flussi operativi BG da parte di un banker di MBWM, limitandone di conseguenza l'integrazione."																						</t>
  </si>
  <si>
    <t>Taxes</t>
  </si>
  <si>
    <t xml:space="preserve">P/BV </t>
  </si>
  <si>
    <t>P/E</t>
  </si>
  <si>
    <t>EPS</t>
  </si>
  <si>
    <t>Banca</t>
  </si>
  <si>
    <t>Anno</t>
  </si>
  <si>
    <t>Analisi di sensitività</t>
  </si>
  <si>
    <t>Scenarios</t>
  </si>
  <si>
    <t>Baseline</t>
  </si>
  <si>
    <t>Pessimistic Scenario</t>
  </si>
  <si>
    <t>Optimistic Scenario</t>
  </si>
  <si>
    <t>OPS Mediobanca - Banca Generali</t>
  </si>
  <si>
    <t>Finance Lab: Value Creation in Banking Industry</t>
  </si>
  <si>
    <t>Due modelli a contronto</t>
  </si>
  <si>
    <t>Riposizionamento come leader nel Wealth Management</t>
  </si>
  <si>
    <t>Un mix di business efficiente</t>
  </si>
  <si>
    <t>Sinergie</t>
  </si>
  <si>
    <t xml:space="preserve"> Creazione di valore per gli azionisti</t>
  </si>
  <si>
    <t>Deal Rationale dichiarato dal gruppo</t>
  </si>
  <si>
    <t>Indice</t>
  </si>
  <si>
    <t>Collegamento</t>
  </si>
  <si>
    <t>Performance di mercato</t>
  </si>
  <si>
    <t>Drivers di valutazione evidenziati</t>
  </si>
  <si>
    <t>M&amp;A con Banca Generali</t>
  </si>
  <si>
    <t>Capital Market Diagnostic e creazione di valore</t>
  </si>
  <si>
    <t xml:space="preserve"> Value Creation in Banking Industry</t>
  </si>
  <si>
    <t xml:space="preserve"> </t>
  </si>
  <si>
    <t xml:space="preserve">Capital Market Diagnostic </t>
  </si>
  <si>
    <t>Drivers di Valutazione</t>
  </si>
  <si>
    <t>Unicredit</t>
  </si>
  <si>
    <t>Intesa SanPaolo</t>
  </si>
  <si>
    <t>Note</t>
  </si>
  <si>
    <t>Banca Tradizionale</t>
  </si>
  <si>
    <t>C/I (%)</t>
  </si>
  <si>
    <t xml:space="preserve">Banca             </t>
  </si>
  <si>
    <t>ROTE (%) 2024</t>
  </si>
  <si>
    <t>Cost over Income Ratio (C/I)</t>
  </si>
  <si>
    <t>Return o tangible equity (ROTE) - Banche Tradizionali</t>
  </si>
  <si>
    <r>
      <t>È il rapporto tra il </t>
    </r>
    <r>
      <rPr>
        <b/>
        <sz val="12"/>
        <color rgb="FF000000"/>
        <rFont val="Avenir Next Regular"/>
      </rPr>
      <t>prezzo di mercato per azione</t>
    </r>
    <r>
      <rPr>
        <sz val="12"/>
        <color rgb="FF000000"/>
        <rFont val="Avenir Next Regular"/>
      </rPr>
      <t> e il </t>
    </r>
    <r>
      <rPr>
        <b/>
        <sz val="12"/>
        <color rgb="FF000000"/>
        <rFont val="Avenir Next Regular"/>
      </rPr>
      <t>valore contabile per azione (book value per share)</t>
    </r>
    <r>
      <rPr>
        <sz val="12"/>
        <color rgb="FF000000"/>
        <rFont val="Avenir Next Regular"/>
      </rPr>
      <t>, ovvero il valore del patrimonio netto tangibile per azione.</t>
    </r>
  </si>
  <si>
    <t>Price to Book Value (P/B)</t>
  </si>
  <si>
    <t xml:space="preserve">Intesa </t>
  </si>
  <si>
    <t>Mediolanum</t>
  </si>
  <si>
    <r>
      <t>È il rapporto tra il </t>
    </r>
    <r>
      <rPr>
        <b/>
        <sz val="12"/>
        <color rgb="FF000000"/>
        <rFont val="Avenir Next Regular"/>
      </rPr>
      <t>prezzo di mercato per azione</t>
    </r>
    <r>
      <rPr>
        <sz val="12"/>
        <color rgb="FF000000"/>
        <rFont val="Avenir Next Regular"/>
      </rPr>
      <t> e l’</t>
    </r>
    <r>
      <rPr>
        <b/>
        <sz val="12"/>
        <color rgb="FF000000"/>
        <rFont val="Avenir Next Regular"/>
      </rPr>
      <t>utile per azione (EPS)</t>
    </r>
    <r>
      <rPr>
        <sz val="12"/>
        <color rgb="FF000000"/>
        <rFont val="Avenir Next Regular"/>
      </rPr>
      <t>. Esprime quanti euro un investitore è disposto a pagare per ogni euro di utile</t>
    </r>
  </si>
  <si>
    <t>Price to Earnings Ratio (P/EPS) - Banche Tradizionali e Asset Managers</t>
  </si>
  <si>
    <r>
      <t xml:space="preserve">Nel corso del </t>
    </r>
    <r>
      <rPr>
        <b/>
        <sz val="12"/>
        <color theme="1"/>
        <rFont val="Avenir Next Regular"/>
      </rPr>
      <t>2024</t>
    </r>
    <r>
      <rPr>
        <sz val="12"/>
        <color theme="1"/>
        <rFont val="Avenir Next Regular"/>
      </rPr>
      <t xml:space="preserve">, l’azione Mediobanca ha registrato un </t>
    </r>
    <r>
      <rPr>
        <b/>
        <sz val="12"/>
        <color theme="1"/>
        <rFont val="Avenir Next Regular"/>
      </rPr>
      <t>+34% in termini di prezzo e un +39% di Total Shareholder Return</t>
    </r>
    <r>
      <rPr>
        <sz val="12"/>
        <color theme="1"/>
        <rFont val="Avenir Next Regular"/>
      </rPr>
      <t xml:space="preserve">. Questo la posiziona al di sopra della media delle banche europee, che si sono fermate a un </t>
    </r>
    <r>
      <rPr>
        <b/>
        <sz val="12"/>
        <color theme="1"/>
        <rFont val="Avenir Next Regular"/>
      </rPr>
      <t>+19% di prezzo</t>
    </r>
    <r>
      <rPr>
        <sz val="12"/>
        <color theme="1"/>
        <rFont val="Avenir Next Regular"/>
      </rPr>
      <t xml:space="preserve"> e a un </t>
    </r>
    <r>
      <rPr>
        <b/>
        <sz val="12"/>
        <color theme="1"/>
        <rFont val="Avenir Next Regular"/>
      </rPr>
      <t>TSR del 25%</t>
    </r>
    <r>
      <rPr>
        <sz val="12"/>
        <color theme="1"/>
        <rFont val="Avenir Next Regular"/>
      </rPr>
      <t xml:space="preserve">. Tuttavia, nello stesso periodo le banche italiane hanno corso ancora di più, segnando un +40% di prezzo e un TSR del 48%, che hanno beneficiato pienamente del contesto di tassi elevati.
Questa </t>
    </r>
    <r>
      <rPr>
        <b/>
        <sz val="12"/>
        <color theme="1"/>
        <rFont val="Avenir Next Regular"/>
      </rPr>
      <t>leggera sottoperformance</t>
    </r>
    <r>
      <rPr>
        <sz val="12"/>
        <color theme="1"/>
        <rFont val="Avenir Next Regular"/>
      </rPr>
      <t xml:space="preserve"> rispetto al comparto italiano riflette la natura meno ciclica del modello Mediobanca, </t>
    </r>
    <r>
      <rPr>
        <b/>
        <sz val="12"/>
        <color theme="1"/>
        <rFont val="Avenir Next Regular"/>
      </rPr>
      <t>meno dipendente dall’andamento dei tassi d’interesse</t>
    </r>
    <r>
      <rPr>
        <sz val="12"/>
        <color theme="1"/>
        <rFont val="Avenir Next Regular"/>
      </rPr>
      <t xml:space="preserve"> e più orientato a ricavi da commissioni e fee-based.  Mediobanca ha mantenuto una crescita più stabile, confermando però una solida redditività (ROTE al 14%) e una politica di distribuzione generosa.</t>
    </r>
  </si>
  <si>
    <t>Market performance and Total Shareholders Return (TSR) since Jan24</t>
  </si>
  <si>
    <t>10Y Market performance and Total Shareholders Return (TSR)</t>
  </si>
  <si>
    <t>Performance di mercato di Mediobanca</t>
  </si>
  <si>
    <t>ROTE</t>
  </si>
  <si>
    <t>EPS Growth</t>
  </si>
  <si>
    <t>BPER</t>
  </si>
  <si>
    <t>MPS</t>
  </si>
  <si>
    <r>
      <t xml:space="preserve">Negli ultimi dieci anni, Mediobanca ha registrato una </t>
    </r>
    <r>
      <rPr>
        <b/>
        <sz val="12"/>
        <color theme="1"/>
        <rFont val="Avenir Next Regular"/>
      </rPr>
      <t>performance borsistica notevolmente superiore</t>
    </r>
    <r>
      <rPr>
        <sz val="12"/>
        <color theme="1"/>
        <rFont val="Avenir Next Regular"/>
      </rPr>
      <t xml:space="preserve"> rispetto alla media delle banche italiane ed europee. </t>
    </r>
    <r>
      <rPr>
        <b/>
        <sz val="12"/>
        <color theme="1"/>
        <rFont val="Avenir Next Regular"/>
      </rPr>
      <t>Il prezzo dell’azione è cresciuto dell’ 86%</t>
    </r>
    <r>
      <rPr>
        <sz val="12"/>
        <color theme="1"/>
        <rFont val="Avenir Next Regular"/>
      </rPr>
      <t xml:space="preserve">, ma il dato ancora più rilevante è il </t>
    </r>
    <r>
      <rPr>
        <b/>
        <sz val="12"/>
        <color theme="1"/>
        <rFont val="Avenir Next Regular"/>
      </rPr>
      <t>Total Shareholder Return (TSR), che ha raggiunto il 202%</t>
    </r>
    <r>
      <rPr>
        <sz val="12"/>
        <color theme="1"/>
        <rFont val="Avenir Next Regular"/>
      </rPr>
      <t xml:space="preserve">. </t>
    </r>
  </si>
  <si>
    <r>
      <t xml:space="preserve">Il </t>
    </r>
    <r>
      <rPr>
        <b/>
        <sz val="12"/>
        <color theme="1"/>
        <rFont val="Avenir Next Regular"/>
      </rPr>
      <t xml:space="preserve">confronto con il settore bancario italiano </t>
    </r>
    <r>
      <rPr>
        <sz val="12"/>
        <color theme="1"/>
        <rFont val="Avenir Next Regular"/>
      </rPr>
      <t xml:space="preserve">ed europeo è netto: nello stesso periodo, le banche italiane hanno segnato un rialzo contenuto del </t>
    </r>
    <r>
      <rPr>
        <b/>
        <sz val="12"/>
        <color theme="1"/>
        <rFont val="Avenir Next Regular"/>
      </rPr>
      <t>17% (+69% di TSR)</t>
    </r>
    <r>
      <rPr>
        <sz val="12"/>
        <color theme="1"/>
        <rFont val="Avenir Next Regular"/>
      </rPr>
      <t xml:space="preserve">, mentre quelle europee hanno addirittura subito una flessione del 9% sul prezzo.
La </t>
    </r>
    <r>
      <rPr>
        <b/>
        <sz val="12"/>
        <color theme="1"/>
        <rFont val="Avenir Next Regular"/>
      </rPr>
      <t>sovraperformance di Mediobanca</t>
    </r>
    <r>
      <rPr>
        <sz val="12"/>
        <color theme="1"/>
        <rFont val="Avenir Next Regular"/>
      </rPr>
      <t xml:space="preserve"> si spiega con il suo</t>
    </r>
    <r>
      <rPr>
        <b/>
        <sz val="12"/>
        <color theme="1"/>
        <rFont val="Avenir Next Regular"/>
      </rPr>
      <t xml:space="preserve"> modello di business diversificato </t>
    </r>
    <r>
      <rPr>
        <sz val="12"/>
        <color theme="1"/>
        <rFont val="Avenir Next Regular"/>
      </rPr>
      <t>e meno</t>
    </r>
    <r>
      <rPr>
        <b/>
        <sz val="12"/>
        <color theme="1"/>
        <rFont val="Avenir Next Regular"/>
      </rPr>
      <t xml:space="preserve"> esposto alla ciclicità del credito</t>
    </r>
    <r>
      <rPr>
        <sz val="12"/>
        <color theme="1"/>
        <rFont val="Avenir Next Regular"/>
      </rPr>
      <t>. La presenza di attività ha garantito flussi reddituali più stabili e un’efficienza operativa superiore. A questo si aggiunge una gestione del capitale prudente e remunerativa, priva di aumenti di capitale in oltre vent’anni e un payout tra i più generosi del sistema.</t>
    </r>
  </si>
  <si>
    <t xml:space="preserve">Fonti </t>
  </si>
  <si>
    <t>P/E analisi per anno</t>
  </si>
  <si>
    <t>P/E analisi grafica 2022-2027</t>
  </si>
  <si>
    <t>Legenda Colori Tabelle</t>
  </si>
  <si>
    <t>SGR e Private bankers</t>
  </si>
  <si>
    <t>P/B analisi grafica 2022-2027</t>
  </si>
  <si>
    <t>Analisi dei principali multipli di mercato</t>
  </si>
  <si>
    <t>Analisi dei principali driver per spiegano le valutazioni</t>
  </si>
  <si>
    <r>
      <t xml:space="preserve">Mediobanca è un </t>
    </r>
    <r>
      <rPr>
        <b/>
        <sz val="14"/>
        <color theme="1"/>
        <rFont val="Avenir Next Regular"/>
      </rPr>
      <t>gruppo finanziario diversificato</t>
    </r>
    <r>
      <rPr>
        <sz val="14"/>
        <color theme="1"/>
        <rFont val="Avenir Next Regular"/>
      </rPr>
      <t xml:space="preserve"> che punta su tre grandi pilastri: il credito al consumo (tramite Compass), il Wealth Management (con Mediobanca Premier, Private Banking e SGR) e il Corporate &amp; Investment Banking, offrendo consulenza M&amp;A, ECM e lending. Si concentra su clientela ad alto valore, digitalizzazione e generazione di commissioni ricorrenti, puntando a essere leader nel wealth management italiano.</t>
    </r>
  </si>
  <si>
    <r>
      <t xml:space="preserve">Banca Generali è una </t>
    </r>
    <r>
      <rPr>
        <b/>
        <sz val="14"/>
        <color theme="1"/>
        <rFont val="Avenir Next Regular"/>
      </rPr>
      <t>banca specializzata nel wealth management</t>
    </r>
    <r>
      <rPr>
        <sz val="14"/>
        <color theme="1"/>
        <rFont val="Avenir Next Regular"/>
      </rPr>
      <t>, focalizzata sulla consulenza personalizzata per famiglie e individui ad alta patrimonializzazione. Lavora con una rete di consulenti finanziari capillare su tutto il territorio italiano e offre un’ampia gamma di soluzioni di investimento e assicurative, tramite un modello aperto e digitale. Il suo core è la relazione di lungo periodo con il cliente, con particolare attenzione alla sostenibilità e all’innovazione nell’offerta.</t>
    </r>
  </si>
  <si>
    <r>
      <t>L’operazione segna una svolta nella strategia di Mediobanca, che</t>
    </r>
    <r>
      <rPr>
        <b/>
        <sz val="13"/>
        <color theme="1"/>
        <rFont val="Avenir Next Regular"/>
      </rPr>
      <t xml:space="preserve"> consolida la sua evoluzione verso un modello focalizzato sul Wealth Management (WM)</t>
    </r>
    <r>
      <rPr>
        <sz val="13"/>
        <color theme="1"/>
        <rFont val="Avenir Next Regular"/>
      </rPr>
      <t>. Grazie a una forte r</t>
    </r>
    <r>
      <rPr>
        <b/>
        <sz val="13"/>
        <color theme="1"/>
        <rFont val="Avenir Next Regular"/>
      </rPr>
      <t>iallocazione del capitale</t>
    </r>
    <r>
      <rPr>
        <sz val="13"/>
        <color theme="1"/>
        <rFont val="Avenir Next Regular"/>
      </rPr>
      <t xml:space="preserve"> dalle attività assicurative al WM, il Gruppo rafforza in modo sostanziale la propria scala, efficienza e redditività. Il Wealth Management diventa il primo pilastro industriale del Gruppo, sostenuto da una maggiore penetrazione commerciale e un’offerta distintiva.</t>
    </r>
  </si>
  <si>
    <r>
      <rPr>
        <b/>
        <sz val="13"/>
        <color theme="1"/>
        <rFont val="Avenir Next Regular"/>
      </rPr>
      <t>Riallocazione capitale da Insurance a WM</t>
    </r>
    <r>
      <rPr>
        <sz val="13"/>
        <color theme="1"/>
        <rFont val="Avenir Next Regular"/>
      </rPr>
      <t xml:space="preserve">: ~€6 miliardi
</t>
    </r>
    <r>
      <rPr>
        <b/>
        <sz val="13"/>
        <color theme="1"/>
        <rFont val="Avenir Next Regular"/>
      </rPr>
      <t>Ricavi WM:</t>
    </r>
    <r>
      <rPr>
        <sz val="13"/>
        <color theme="1"/>
        <rFont val="Avenir Next Regular"/>
      </rPr>
      <t xml:space="preserve"> da €1,0 miliardo a €2,0 miliardi
</t>
    </r>
    <r>
      <rPr>
        <b/>
        <sz val="13"/>
        <color theme="1"/>
        <rFont val="Avenir Next Regular"/>
      </rPr>
      <t>Incidenza dei ricavi WM sul totale Gruppo</t>
    </r>
    <r>
      <rPr>
        <sz val="13"/>
        <color theme="1"/>
        <rFont val="Avenir Next Regular"/>
      </rPr>
      <t xml:space="preserve">: dal 26% al 45%
</t>
    </r>
  </si>
  <si>
    <r>
      <rPr>
        <b/>
        <sz val="13"/>
        <color theme="1"/>
        <rFont val="Avenir Next Regular"/>
      </rPr>
      <t>Utile netto WM</t>
    </r>
    <r>
      <rPr>
        <sz val="13"/>
        <color theme="1"/>
        <rFont val="Avenir Next Regular"/>
      </rPr>
      <t xml:space="preserve">: da &gt;€0,2 miliardi a €0,8 miliardi
</t>
    </r>
    <r>
      <rPr>
        <b/>
        <sz val="13"/>
        <color theme="1"/>
        <rFont val="Avenir Next Regular"/>
      </rPr>
      <t>Incidenza dell’utile WM</t>
    </r>
    <r>
      <rPr>
        <sz val="13"/>
        <color theme="1"/>
        <rFont val="Avenir Next Regular"/>
      </rPr>
      <t xml:space="preserve"> sul totale Gruppo: da &lt;20% a 50%</t>
    </r>
  </si>
  <si>
    <r>
      <rPr>
        <b/>
        <sz val="13"/>
        <color theme="1"/>
        <rFont val="Avenir Next Regular"/>
      </rPr>
      <t>TFA combinati post-fusione:</t>
    </r>
    <r>
      <rPr>
        <sz val="13"/>
        <color theme="1"/>
        <rFont val="Avenir Next Regular"/>
      </rPr>
      <t xml:space="preserve"> &gt;€210 miliardi
Posizionamento tra i </t>
    </r>
    <r>
      <rPr>
        <b/>
        <sz val="13"/>
        <color theme="1"/>
        <rFont val="Avenir Next Regular"/>
      </rPr>
      <t>Top 3</t>
    </r>
    <r>
      <rPr>
        <sz val="13"/>
        <color theme="1"/>
        <rFont val="Avenir Next Regular"/>
      </rPr>
      <t xml:space="preserve"> operatori italiani per masse</t>
    </r>
  </si>
  <si>
    <r>
      <t>La combinazione MB–BG permette di e</t>
    </r>
    <r>
      <rPr>
        <b/>
        <sz val="14"/>
        <color theme="1"/>
        <rFont val="Avenir Next Regular"/>
      </rPr>
      <t>spandere il modello sinergico tra Investment Banking e Wealth Management,</t>
    </r>
    <r>
      <rPr>
        <sz val="14"/>
        <color theme="1"/>
        <rFont val="Avenir Next Regular"/>
      </rPr>
      <t xml:space="preserve"> con particolare enfasi sul mid-market imprenditoriale. L’integrazione migliora anche</t>
    </r>
    <r>
      <rPr>
        <b/>
        <sz val="14"/>
        <color theme="1"/>
        <rFont val="Avenir Next Regular"/>
      </rPr>
      <t xml:space="preserve"> l’equilibrio tra attivi e passivi (A&amp;L)</t>
    </r>
    <r>
      <rPr>
        <sz val="14"/>
        <color theme="1"/>
        <rFont val="Avenir Next Regular"/>
      </rPr>
      <t xml:space="preserve">, sfruttando la liquidità di Banca Generali e l’efficienza degli impieghi di Compass. </t>
    </r>
  </si>
  <si>
    <r>
      <rPr>
        <b/>
        <sz val="13"/>
        <color theme="1"/>
        <rFont val="Avenir Next Regular"/>
      </rPr>
      <t>Rete combinata</t>
    </r>
    <r>
      <rPr>
        <sz val="13"/>
        <color theme="1"/>
        <rFont val="Avenir Next Regular"/>
      </rPr>
      <t xml:space="preserve">: ~3.700 professionisti
</t>
    </r>
    <r>
      <rPr>
        <b/>
        <sz val="13"/>
        <color theme="1"/>
        <rFont val="Avenir Next Regular"/>
      </rPr>
      <t>Focus clientela Private</t>
    </r>
    <r>
      <rPr>
        <sz val="13"/>
        <color theme="1"/>
        <rFont val="Avenir Next Regular"/>
      </rPr>
      <t xml:space="preserve"> (&gt;€500k): ~2/3 della base BG</t>
    </r>
  </si>
  <si>
    <r>
      <t>L’operazione offre</t>
    </r>
    <r>
      <rPr>
        <b/>
        <sz val="14"/>
        <color theme="1"/>
        <rFont val="Avenir Next Regular"/>
      </rPr>
      <t xml:space="preserve"> sinergie concrete sia in termini industriali che economici</t>
    </r>
    <r>
      <rPr>
        <sz val="14"/>
        <color theme="1"/>
        <rFont val="Avenir Next Regular"/>
      </rPr>
      <t xml:space="preserve">. Le </t>
    </r>
    <r>
      <rPr>
        <b/>
        <sz val="14"/>
        <color theme="1"/>
        <rFont val="Avenir Next Regular"/>
      </rPr>
      <t>reti</t>
    </r>
    <r>
      <rPr>
        <sz val="14"/>
        <color theme="1"/>
        <rFont val="Avenir Next Regular"/>
      </rPr>
      <t xml:space="preserve"> di vendita saranno potenziate dall’integrazione delle offerte di Private Banking e Investment Banking, permettendo nuove opportunità di </t>
    </r>
    <r>
      <rPr>
        <b/>
        <sz val="14"/>
        <color theme="1"/>
        <rFont val="Avenir Next Regular"/>
      </rPr>
      <t>cross-selling</t>
    </r>
    <r>
      <rPr>
        <sz val="14"/>
        <color theme="1"/>
        <rFont val="Avenir Next Regular"/>
      </rPr>
      <t xml:space="preserve">. Il rischio di esecuzione è contenuto, grazie all’elevata </t>
    </r>
    <r>
      <rPr>
        <b/>
        <sz val="14"/>
        <color theme="1"/>
        <rFont val="Avenir Next Regular"/>
      </rPr>
      <t>compatibilità tra le due organizzazioni</t>
    </r>
    <r>
      <rPr>
        <sz val="14"/>
        <color theme="1"/>
        <rFont val="Avenir Next Regular"/>
      </rPr>
      <t>.</t>
    </r>
  </si>
  <si>
    <r>
      <t xml:space="preserve">€150 mln da </t>
    </r>
    <r>
      <rPr>
        <b/>
        <sz val="13"/>
        <color theme="1"/>
        <rFont val="Avenir Next Regular"/>
      </rPr>
      <t>costi</t>
    </r>
    <r>
      <rPr>
        <sz val="13"/>
        <color theme="1"/>
        <rFont val="Avenir Next Regular"/>
      </rPr>
      <t xml:space="preserve"> (IT, HR, SG&amp;A)
€85 mln da </t>
    </r>
    <r>
      <rPr>
        <b/>
        <sz val="13"/>
        <color theme="1"/>
        <rFont val="Avenir Next Regular"/>
      </rPr>
      <t>ricavi</t>
    </r>
    <r>
      <rPr>
        <sz val="13"/>
        <color theme="1"/>
        <rFont val="Avenir Next Regular"/>
      </rPr>
      <t xml:space="preserve"> (cross-selling, ottimizzazione offerta)
€65 mln da </t>
    </r>
    <r>
      <rPr>
        <b/>
        <sz val="13"/>
        <color theme="1"/>
        <rFont val="Avenir Next Regular"/>
      </rPr>
      <t>funding</t>
    </r>
    <r>
      <rPr>
        <sz val="13"/>
        <color theme="1"/>
        <rFont val="Avenir Next Regular"/>
      </rPr>
      <t xml:space="preserve"> (miglior ALM, minori costi di funding)</t>
    </r>
  </si>
  <si>
    <r>
      <rPr>
        <b/>
        <sz val="13"/>
        <color theme="1"/>
        <rFont val="Avenir Next Regular"/>
      </rPr>
      <t>Costi di integrazione una tantum</t>
    </r>
    <r>
      <rPr>
        <sz val="13"/>
        <color theme="1"/>
        <rFont val="Avenir Next Regular"/>
      </rPr>
      <t>: €350 milioni</t>
    </r>
  </si>
  <si>
    <r>
      <t xml:space="preserve">L’operazione accresce significativamente la </t>
    </r>
    <r>
      <rPr>
        <b/>
        <sz val="14"/>
        <color theme="1"/>
        <rFont val="Avenir Next Regular"/>
      </rPr>
      <t xml:space="preserve">redditività </t>
    </r>
    <r>
      <rPr>
        <sz val="14"/>
        <color theme="1"/>
        <rFont val="Avenir Next Regular"/>
      </rPr>
      <t>e</t>
    </r>
    <r>
      <rPr>
        <b/>
        <sz val="14"/>
        <color theme="1"/>
        <rFont val="Avenir Next Regular"/>
      </rPr>
      <t xml:space="preserve"> la capacità di generare valore </t>
    </r>
    <r>
      <rPr>
        <sz val="14"/>
        <color theme="1"/>
        <rFont val="Avenir Next Regular"/>
      </rPr>
      <t>per Mediobanca, con un chiaro impatto positivo per gli azionisti. La crescita dell’</t>
    </r>
    <r>
      <rPr>
        <b/>
        <sz val="14"/>
        <color theme="1"/>
        <rFont val="Avenir Next Regular"/>
      </rPr>
      <t>utile netto</t>
    </r>
    <r>
      <rPr>
        <sz val="14"/>
        <color theme="1"/>
        <rFont val="Avenir Next Regular"/>
      </rPr>
      <t xml:space="preserve"> e il miglioramento della </t>
    </r>
    <r>
      <rPr>
        <b/>
        <sz val="14"/>
        <color theme="1"/>
        <rFont val="Avenir Next Regular"/>
      </rPr>
      <t>qualità del business mix</t>
    </r>
    <r>
      <rPr>
        <sz val="14"/>
        <color theme="1"/>
        <rFont val="Avenir Next Regular"/>
      </rPr>
      <t xml:space="preserve"> abilitano un </t>
    </r>
    <r>
      <rPr>
        <b/>
        <sz val="14"/>
        <color theme="1"/>
        <rFont val="Avenir Next Regular"/>
      </rPr>
      <t>re-rating strutturale del titolo</t>
    </r>
    <r>
      <rPr>
        <sz val="14"/>
        <color theme="1"/>
        <rFont val="Avenir Next Regular"/>
      </rPr>
      <t>. Inoltre, la distribuzione agli azionisti resta tra le migliori del settore.</t>
    </r>
  </si>
  <si>
    <r>
      <rPr>
        <b/>
        <sz val="14"/>
        <color theme="1"/>
        <rFont val="Avenir Next Regular"/>
      </rPr>
      <t>ROTE</t>
    </r>
    <r>
      <rPr>
        <sz val="14"/>
        <color theme="1"/>
        <rFont val="Avenir Next Regular"/>
      </rPr>
      <t xml:space="preserve">: da 14% a &gt;20%
</t>
    </r>
    <r>
      <rPr>
        <b/>
        <sz val="14"/>
        <color theme="1"/>
        <rFont val="Avenir Next Regular"/>
      </rPr>
      <t>Utile</t>
    </r>
    <r>
      <rPr>
        <sz val="14"/>
        <color theme="1"/>
        <rFont val="Avenir Next Regular"/>
      </rPr>
      <t xml:space="preserve"> netto del Gruppo: +15%
</t>
    </r>
    <r>
      <rPr>
        <b/>
        <sz val="14"/>
        <color theme="1"/>
        <rFont val="Avenir Next Regular"/>
      </rPr>
      <t>CET1</t>
    </r>
    <r>
      <rPr>
        <sz val="14"/>
        <color theme="1"/>
        <rFont val="Avenir Next Regular"/>
      </rPr>
      <t xml:space="preserve"> ratio post-operazione: ~14%</t>
    </r>
  </si>
  <si>
    <t>Remunerazione cumulata confermata (FY23–26): €4 miliardi
Yield atteso per gli azionisti nei prossimi 18 mesi: 22%</t>
  </si>
  <si>
    <t>Perché Mediobanca scambia a premio rispetto alle banche tradizionali… ma a sconto rispetto agli asset managers?</t>
  </si>
  <si>
    <t xml:space="preserve">ROTE come driver per la valutazione: un'analisi d'inferenza </t>
  </si>
  <si>
    <t>Accelerazione della digitalizzazione</t>
  </si>
  <si>
    <t>ROTE vs P/E</t>
  </si>
  <si>
    <t>ROTE vs P/B</t>
  </si>
  <si>
    <t>Premere QUI per visualizzare il codice Python utilizzato per l'analisi (file html)</t>
  </si>
  <si>
    <t>Leva da attivare</t>
  </si>
  <si>
    <t>Indicatori colpiti</t>
  </si>
  <si>
    <t>Effetto sul ROTE</t>
  </si>
  <si>
    <t>Più commissioni (fee income)</t>
  </si>
  <si>
    <t>Integrazione di una rete altamente produttiva</t>
  </si>
  <si>
    <t>Margine commissionale, utile netto</t>
  </si>
  <si>
    <t>Più volumi in wealth management</t>
  </si>
  <si>
    <t>Crescita AUM aggregata e up/cross-selling</t>
  </si>
  <si>
    <t>AUM, ricavi ricorrenti</t>
  </si>
  <si>
    <t>Meno costi operativi</t>
  </si>
  <si>
    <t>Razionalizzazione IT, staff centrale, back-office</t>
  </si>
  <si>
    <t>Cost/income, utile operativo</t>
  </si>
  <si>
    <t>Meno rischio di credito</t>
  </si>
  <si>
    <t>Maggior peso a business fee-based vs credito</t>
  </si>
  <si>
    <t>Costo del rischio, profilo rischio</t>
  </si>
  <si>
    <t>Più efficienza RWA</t>
  </si>
  <si>
    <t>Ribilanciamento verso attività meno capital intensive</t>
  </si>
  <si>
    <t>RWA, ROA, CET1 tangibile</t>
  </si>
  <si>
    <t>Meno capitale in eccesso</t>
  </si>
  <si>
    <t>Deploy del capitale in attività redditizie</t>
  </si>
  <si>
    <t>CET1 tangibile, equity medio</t>
  </si>
  <si>
    <t>UP</t>
  </si>
  <si>
    <t>OPS su Banca Generali</t>
  </si>
  <si>
    <t>Sviluppo e innovazione nel Credito al Consumo (BNPL)</t>
  </si>
  <si>
    <t>Assunzioni sui ricavi</t>
  </si>
  <si>
    <t>Sensitività sui ricavi</t>
  </si>
  <si>
    <r>
      <rPr>
        <b/>
        <sz val="11"/>
        <color theme="1"/>
        <rFont val="Avenir Next Regular"/>
      </rPr>
      <t>Cross-selling</t>
    </r>
    <r>
      <rPr>
        <sz val="11"/>
        <color theme="1"/>
        <rFont val="Avenir Next Regular"/>
      </rPr>
      <t xml:space="preserve">: prodotti ad alta marginalità di Mediobanca CIB distribuiti tramite la rete di consulenti di Banca Generali.
</t>
    </r>
    <r>
      <rPr>
        <b/>
        <sz val="11"/>
        <color theme="1"/>
        <rFont val="Avenir Next Regular"/>
      </rPr>
      <t>Ottimizzazione dell’offerta commerciale</t>
    </r>
    <r>
      <rPr>
        <sz val="11"/>
        <color theme="1"/>
        <rFont val="Avenir Next Regular"/>
      </rPr>
      <t xml:space="preserve">: possibilità di estendere best practice di BG (es. portafogli efficienti, advisory continua) alla divisione WM di Mediobanca.
</t>
    </r>
    <r>
      <rPr>
        <b/>
        <sz val="11"/>
        <color theme="1"/>
        <rFont val="Avenir Next Regular"/>
      </rPr>
      <t>Aumento marginalità per cliente</t>
    </r>
    <r>
      <rPr>
        <sz val="11"/>
        <color theme="1"/>
        <rFont val="Avenir Next Regular"/>
      </rPr>
      <t xml:space="preserve">: offrendo prodotti più sofisticati a clienti oggi esposti solo a fondi tradizionali, cresce la revenue unitaria.
</t>
    </r>
    <r>
      <rPr>
        <b/>
        <sz val="11"/>
        <color theme="1"/>
        <rFont val="Avenir Next Regular"/>
      </rPr>
      <t>Aumento produttività consulenti</t>
    </r>
    <r>
      <rPr>
        <sz val="11"/>
        <color theme="1"/>
        <rFont val="Avenir Next Regular"/>
      </rPr>
      <t>: vendita di prodotti a maggior valore aumenta il revenue per head, KPI chiave nel wealth management.</t>
    </r>
  </si>
  <si>
    <r>
      <t xml:space="preserve">Le sinergie di costo previste nell’operazione rappresentano circa il 50% del totale stimato di 300 milioni di euro, ovvero 150 milioni, e si articolano principalmente su due direttrici:
</t>
    </r>
    <r>
      <rPr>
        <b/>
        <sz val="11"/>
        <color theme="1"/>
        <rFont val="Avenir Next Regular"/>
      </rPr>
      <t>Efficienza SG&amp;A</t>
    </r>
    <r>
      <rPr>
        <sz val="11"/>
        <color theme="1"/>
        <rFont val="Avenir Next Regular"/>
      </rPr>
      <t xml:space="preserve">: si stimano 90 milioni di euro di risparmi grazie alla razionalizzazione delle spese generali e amministrative, attraverso l’integrazione di piattaforme IT, riduzione dei costi di struttura e semplificazione organizzativa tra Mediobanca WM e Banca Generali.
</t>
    </r>
    <r>
      <rPr>
        <b/>
        <sz val="11"/>
        <color theme="1"/>
        <rFont val="Avenir Next Regular"/>
      </rPr>
      <t>Risparmio HR</t>
    </r>
    <r>
      <rPr>
        <sz val="11"/>
        <color theme="1"/>
        <rFont val="Avenir Next Regular"/>
      </rPr>
      <t>: ulteriori 60 milioni di euro derivano da ottimizzazioni del personale, in particolare su ruoli centrali e staff duplicati, possibili grazie alla sovrapposizione funzionale tra le due strutture.</t>
    </r>
  </si>
  <si>
    <t>Assunzioni sui costi</t>
  </si>
  <si>
    <r>
      <rPr>
        <b/>
        <sz val="11"/>
        <color theme="1"/>
        <rFont val="Avenir Next Regular"/>
      </rPr>
      <t xml:space="preserve">Ottimizzazione della struttura attivi/passivi </t>
    </r>
    <r>
      <rPr>
        <sz val="11"/>
        <color theme="1"/>
        <rFont val="Avenir Next Regular"/>
      </rPr>
      <t xml:space="preserve">grazie alla maggiore base di depositi retail di BG. Questo riduce la RWA density (dal 48% al &lt;40%) e migliora CET1 ratio e ROTE.
Grazie ai €40 mld di depositi retail di BG, Mediobanca </t>
    </r>
    <r>
      <rPr>
        <b/>
        <sz val="11"/>
        <color theme="1"/>
        <rFont val="Avenir Next Regular"/>
      </rPr>
      <t>riduce il ricorso a funding wholesale più costoso</t>
    </r>
    <r>
      <rPr>
        <sz val="11"/>
        <color theme="1"/>
        <rFont val="Avenir Next Regular"/>
      </rPr>
      <t>. Risparmio stimato: €65 milioni/anno → migliora margine d’interesse e redditività.</t>
    </r>
  </si>
  <si>
    <t>Assunzioni sul funding</t>
  </si>
  <si>
    <t>Sensitività sui costi</t>
  </si>
  <si>
    <t>Sensitività sul funding</t>
  </si>
  <si>
    <r>
      <rPr>
        <b/>
        <sz val="11"/>
        <color theme="1"/>
        <rFont val="Avenir Next Regular"/>
      </rPr>
      <t>Incentivi e retentions</t>
    </r>
    <r>
      <rPr>
        <sz val="11"/>
        <color theme="1"/>
        <rFont val="Avenir Next Regular"/>
      </rPr>
      <t xml:space="preserve">: bonus per trattenere i talenti chiave e incentivare il raggiungimento degli obiettivi post-integrazione.
</t>
    </r>
    <r>
      <rPr>
        <b/>
        <sz val="11"/>
        <color theme="1"/>
        <rFont val="Avenir Next Regular"/>
      </rPr>
      <t>Costi per contenziosi</t>
    </r>
    <r>
      <rPr>
        <sz val="11"/>
        <color theme="1"/>
        <rFont val="Avenir Next Regular"/>
      </rPr>
      <t xml:space="preserve">: fondi prudenziali per possibili controversie legate alla transazione o al personale.
</t>
    </r>
    <r>
      <rPr>
        <b/>
        <sz val="11"/>
        <color theme="1"/>
        <rFont val="Avenir Next Regular"/>
      </rPr>
      <t>Migrazione IT</t>
    </r>
    <r>
      <rPr>
        <sz val="11"/>
        <color theme="1"/>
        <rFont val="Avenir Next Regular"/>
      </rPr>
      <t xml:space="preserve">: spese per l’allineamento e l’unificazione delle infrastrutture e piattaforme digitali.
</t>
    </r>
    <r>
      <rPr>
        <b/>
        <sz val="11"/>
        <color theme="1"/>
        <rFont val="Avenir Next Regular"/>
      </rPr>
      <t>Altri costi per sinergie</t>
    </r>
    <r>
      <rPr>
        <sz val="11"/>
        <color theme="1"/>
        <rFont val="Avenir Next Regular"/>
      </rPr>
      <t>: consulenze, riorganizzazioni operative e altri costi di transizione necessari a realizzare le sinergie stimate.</t>
    </r>
  </si>
  <si>
    <t>Assunzioni sull'orizzonte temporale, il tasso di crescita e l'impatto della corporate tax</t>
  </si>
  <si>
    <t>Stimiamo un raggiungimento totale delle sinergie nel 2028, una crescita media del 5% e un corporate tax del 25%</t>
  </si>
  <si>
    <t>Nuova Capitalizzazione di mercato</t>
  </si>
  <si>
    <t>Ottimizzazione dell'offerta</t>
  </si>
  <si>
    <r>
      <t xml:space="preserve">In questa sezione vengono analizzati i principali indicatori di valutazione di Mediobanca — </t>
    </r>
    <r>
      <rPr>
        <b/>
        <sz val="12"/>
        <color theme="1"/>
        <rFont val="Avenir Next Regular"/>
      </rPr>
      <t>P/E, P/B, ROTE</t>
    </r>
    <r>
      <rPr>
        <sz val="12"/>
        <color theme="1"/>
        <rFont val="Avenir Next Regular"/>
      </rPr>
      <t xml:space="preserve"> — insieme all’andamento del titolo e al Total Shareholder Return (</t>
    </r>
    <r>
      <rPr>
        <b/>
        <sz val="12"/>
        <color theme="1"/>
        <rFont val="Avenir Next Regular"/>
      </rPr>
      <t>TSR</t>
    </r>
    <r>
      <rPr>
        <sz val="12"/>
        <color theme="1"/>
        <rFont val="Avenir Next Regular"/>
      </rPr>
      <t xml:space="preserve">). Il confronto è svolto rispetto ai principali player italiani, includendo sia le </t>
    </r>
    <r>
      <rPr>
        <b/>
        <sz val="12"/>
        <color theme="1"/>
        <rFont val="Avenir Next Regular"/>
      </rPr>
      <t>banche</t>
    </r>
    <r>
      <rPr>
        <sz val="12"/>
        <color theme="1"/>
        <rFont val="Avenir Next Regular"/>
      </rPr>
      <t xml:space="preserve"> </t>
    </r>
    <r>
      <rPr>
        <b/>
        <sz val="12"/>
        <color theme="1"/>
        <rFont val="Avenir Next Regular"/>
      </rPr>
      <t>tradizionali</t>
    </r>
    <r>
      <rPr>
        <sz val="12"/>
        <color theme="1"/>
        <rFont val="Avenir Next Regular"/>
      </rPr>
      <t xml:space="preserve"> che gli operatori del </t>
    </r>
    <r>
      <rPr>
        <b/>
        <sz val="12"/>
        <color theme="1"/>
        <rFont val="Avenir Next Regular"/>
      </rPr>
      <t>risparmio</t>
    </r>
    <r>
      <rPr>
        <sz val="12"/>
        <color theme="1"/>
        <rFont val="Avenir Next Regular"/>
      </rPr>
      <t xml:space="preserve"> </t>
    </r>
    <r>
      <rPr>
        <b/>
        <sz val="12"/>
        <color theme="1"/>
        <rFont val="Avenir Next Regular"/>
      </rPr>
      <t>gestito</t>
    </r>
    <r>
      <rPr>
        <sz val="12"/>
        <color theme="1"/>
        <rFont val="Avenir Next Regular"/>
      </rPr>
      <t>.</t>
    </r>
  </si>
  <si>
    <t>Grafico ricavato dalla presentazione degli analisti della chiusura dell'ultimo anno fiscale (Giu 2024)</t>
  </si>
  <si>
    <r>
      <t xml:space="preserve">In termini di P/E, il posizionamento di Mediobanca sul mercato riflette un equilibrio strategico tra </t>
    </r>
    <r>
      <rPr>
        <b/>
        <sz val="12"/>
        <color theme="1"/>
        <rFont val="Avenir Next Regular"/>
      </rPr>
      <t>solidità bancaria</t>
    </r>
    <r>
      <rPr>
        <sz val="12"/>
        <color theme="1"/>
        <rFont val="Avenir Next Regular"/>
      </rPr>
      <t xml:space="preserve"> e s</t>
    </r>
    <r>
      <rPr>
        <b/>
        <sz val="12"/>
        <color theme="1"/>
        <rFont val="Avenir Next Regular"/>
      </rPr>
      <t>pecializzazione ad alto valore aggiunto</t>
    </r>
    <r>
      <rPr>
        <sz val="12"/>
        <color theme="1"/>
        <rFont val="Avenir Next Regular"/>
      </rPr>
      <t>. Da un lato,</t>
    </r>
    <r>
      <rPr>
        <b/>
        <sz val="12"/>
        <color theme="1"/>
        <rFont val="Avenir Next Regular"/>
      </rPr>
      <t xml:space="preserve"> la banca tratta a multipli inferiori rispetto agli asset managers </t>
    </r>
    <r>
      <rPr>
        <sz val="12"/>
        <color theme="1"/>
        <rFont val="Avenir Next Regular"/>
      </rPr>
      <t>ma dall’altro, il mercato le riconosce un premium rispetto alle banche tradizionali, probabilmente premiando la minor ciclicità, la qualità degli utili e il focus su segmenti ad alta marginalità come il wealth management e l’advisory.</t>
    </r>
  </si>
  <si>
    <r>
      <t xml:space="preserve">In termini di </t>
    </r>
    <r>
      <rPr>
        <b/>
        <sz val="12"/>
        <color theme="1"/>
        <rFont val="Avenir Next Regular"/>
      </rPr>
      <t>P/B</t>
    </r>
    <r>
      <rPr>
        <sz val="12"/>
        <color theme="1"/>
        <rFont val="Avenir Next Regular"/>
      </rPr>
      <t xml:space="preserve"> (Price-to-Book), il posizionamento di Mediobanca si riflette in una valorizzazione che incorpora sia la </t>
    </r>
    <r>
      <rPr>
        <b/>
        <sz val="12"/>
        <color theme="1"/>
        <rFont val="Avenir Next Regular"/>
      </rPr>
      <t>qualità del capitale che la struttura dei ricavi</t>
    </r>
    <r>
      <rPr>
        <sz val="12"/>
        <color theme="1"/>
        <rFont val="Avenir Next Regular"/>
      </rPr>
      <t xml:space="preserve">. Pur non raggiungendo i multipli degli asset managers — la cui natura capital-light consente una rotazione più rapida del capitale — Mediobanca beneficia di una </t>
    </r>
    <r>
      <rPr>
        <b/>
        <sz val="12"/>
        <color theme="1"/>
        <rFont val="Avenir Next Regular"/>
      </rPr>
      <t>valutazione superiore rispetto alle banche tradizionali</t>
    </r>
    <r>
      <rPr>
        <sz val="12"/>
        <color theme="1"/>
        <rFont val="Avenir Next Regular"/>
      </rPr>
      <t>, grazie a una composizione patrimoniale più efficiente e all’impiego del capitale in attività meno cicliche e più redditizie. La presenza significativa in business ad alto contenuto consulenziale (e quindi a minore assorbimento di capitale), unita a una gestione disciplinata degli RWA, potrebbe giustificare un premio sul book value rispetto al settore bancario classico.</t>
    </r>
  </si>
  <si>
    <r>
      <t>Mediobanca presenta un </t>
    </r>
    <r>
      <rPr>
        <b/>
        <sz val="12"/>
        <color theme="1"/>
        <rFont val="Avenir Next Regular"/>
      </rPr>
      <t xml:space="preserve">premio di valutazione rispetto alle banche universali </t>
    </r>
    <r>
      <rPr>
        <sz val="12"/>
        <color theme="1"/>
        <rFont val="Avenir Next Regular"/>
      </rPr>
      <t>italiane come Intesa Sanpaolo o Banco BPM. Questo premio potrebbe essere giustificato dalla </t>
    </r>
    <r>
      <rPr>
        <b/>
        <sz val="12"/>
        <color theme="1"/>
        <rFont val="Avenir Next Regular"/>
      </rPr>
      <t>maggiore qualità del modello di business</t>
    </r>
    <r>
      <rPr>
        <sz val="12"/>
        <color theme="1"/>
        <rFont val="Avenir Next Regular"/>
      </rPr>
      <t xml:space="preserve">, più </t>
    </r>
    <r>
      <rPr>
        <b/>
        <sz val="12"/>
        <color theme="1"/>
        <rFont val="Avenir Next Regular"/>
      </rPr>
      <t>diversificato</t>
    </r>
    <r>
      <rPr>
        <sz val="12"/>
        <color theme="1"/>
        <rFont val="Avenir Next Regular"/>
      </rPr>
      <t xml:space="preserve"> e </t>
    </r>
    <r>
      <rPr>
        <b/>
        <sz val="12"/>
        <color theme="1"/>
        <rFont val="Avenir Next Regular"/>
      </rPr>
      <t>meno dipendente dalla ciclicità del credito</t>
    </r>
    <r>
      <rPr>
        <sz val="12"/>
        <color theme="1"/>
        <rFont val="Avenir Next Regular"/>
      </rPr>
      <t>. La combinazione di Wealth Management, Consumer Finance e Corporate &amp; Investment Banking garantisce una</t>
    </r>
    <r>
      <rPr>
        <b/>
        <sz val="12"/>
        <color theme="1"/>
        <rFont val="Avenir Next Regular"/>
      </rPr>
      <t xml:space="preserve"> struttura reddituale più stabile e con minore volatilità</t>
    </r>
    <r>
      <rPr>
        <sz val="12"/>
        <color theme="1"/>
        <rFont val="Avenir Next Regular"/>
      </rPr>
      <t xml:space="preserve">. Il </t>
    </r>
    <r>
      <rPr>
        <b/>
        <sz val="12"/>
        <color theme="1"/>
        <rFont val="Avenir Next Regular"/>
      </rPr>
      <t>profilo di rischio è contenuto</t>
    </r>
    <r>
      <rPr>
        <sz val="12"/>
        <color theme="1"/>
        <rFont val="Avenir Next Regular"/>
      </rPr>
      <t xml:space="preserve">, come dimostrano la qualità degli attivi e i livelli di </t>
    </r>
    <r>
      <rPr>
        <b/>
        <sz val="12"/>
        <color theme="1"/>
        <rFont val="Avenir Next Regular"/>
      </rPr>
      <t>ROTE stabili (12,4%)</t>
    </r>
    <r>
      <rPr>
        <sz val="12"/>
        <color theme="1"/>
        <rFont val="Avenir Next Regular"/>
      </rPr>
      <t xml:space="preserve">, superiori alla media delle banche italiane. Inoltre, </t>
    </r>
    <r>
      <rPr>
        <b/>
        <sz val="12"/>
        <color theme="1"/>
        <rFont val="Avenir Next Regular"/>
      </rPr>
      <t xml:space="preserve">l’assenza di aumenti di capitale </t>
    </r>
    <r>
      <rPr>
        <sz val="12"/>
        <color theme="1"/>
        <rFont val="Avenir Next Regular"/>
      </rPr>
      <t>negli ultimi vent’anni, la trasparenza nella comunicazione e la governance solida aumentano la fiducia degli investitori istituzionali.                             Tuttavia, Mediobanca</t>
    </r>
    <r>
      <rPr>
        <b/>
        <sz val="12"/>
        <color theme="1"/>
        <rFont val="Avenir Next Regular"/>
      </rPr>
      <t xml:space="preserve"> scambia a sconto rispetto ai player del risparmio gestito</t>
    </r>
    <r>
      <rPr>
        <sz val="12"/>
        <color theme="1"/>
        <rFont val="Avenir Next Regular"/>
      </rPr>
      <t xml:space="preserve"> come Fineco, Banca Generali o Mediolanum. Questo è potrebbe essere dovuto al fatto che il suo business non è interamente </t>
    </r>
    <r>
      <rPr>
        <b/>
        <sz val="12"/>
        <color theme="1"/>
        <rFont val="Avenir Next Regular"/>
      </rPr>
      <t>capital-light</t>
    </r>
    <r>
      <rPr>
        <sz val="12"/>
        <color theme="1"/>
        <rFont val="Avenir Next Regular"/>
      </rPr>
      <t>: le attività creditizie e il CIB richiedono RWA elevati, riducendo il ROTE potenziale. Inoltre, la scalabilità è limitata rispetto a modelli puramente fee-based, e il peso delle commissioni sui ricavi totali è inferiore rispetto ai peer specializzati. Il mercato riconosce quindi un valore inferiore in termini di multipli P/E e P/B, nonostante la solidità complessiva del gruppo.</t>
    </r>
  </si>
  <si>
    <r>
      <t>ROTE</t>
    </r>
    <r>
      <rPr>
        <sz val="12"/>
        <color rgb="FF000000"/>
        <rFont val="Avenir Next Regular"/>
      </rPr>
      <t> misura il ritorno netto generato sul patrimonio netto tangibile. È utile per confrontare l’e</t>
    </r>
    <r>
      <rPr>
        <b/>
        <sz val="12"/>
        <color rgb="FF000000"/>
        <rFont val="Avenir Next Regular"/>
      </rPr>
      <t>fficienza nella generazione di valore per gli azionisti</t>
    </r>
    <r>
      <rPr>
        <sz val="12"/>
        <color rgb="FF000000"/>
        <rFont val="Avenir Next Regular"/>
      </rPr>
      <t>, al netto di intangibili e goodwill.</t>
    </r>
  </si>
  <si>
    <r>
      <t xml:space="preserve">Il </t>
    </r>
    <r>
      <rPr>
        <b/>
        <sz val="12"/>
        <color theme="1"/>
        <rFont val="Avenir Next Regular"/>
      </rPr>
      <t>Cost/Income</t>
    </r>
    <r>
      <rPr>
        <sz val="12"/>
        <color theme="1"/>
        <rFont val="Avenir Next Regular"/>
      </rPr>
      <t xml:space="preserve"> ratio (C/I) è un indicatore chiave dell’efficienza operativa di una banca: misura quanto costa generare un euro di ricavo. Un valore </t>
    </r>
    <r>
      <rPr>
        <b/>
        <sz val="12"/>
        <color theme="1"/>
        <rFont val="Avenir Next Regular"/>
      </rPr>
      <t>più basso indica maggiore efficienza</t>
    </r>
    <r>
      <rPr>
        <sz val="12"/>
        <color theme="1"/>
        <rFont val="Avenir Next Regular"/>
      </rPr>
      <t>. Il confronto tra i principali player italiani evidenzia differenze rilevanti legate al modello di business adottato.</t>
    </r>
  </si>
  <si>
    <r>
      <t xml:space="preserve">Il ROTE di Mediobanca (12,4 %)  si colloca </t>
    </r>
    <r>
      <rPr>
        <b/>
        <sz val="12"/>
        <color theme="1"/>
        <rFont val="Avenir Next Regular"/>
      </rPr>
      <t>al di sotto delle performance dei principali peer</t>
    </r>
    <r>
      <rPr>
        <sz val="12"/>
        <color theme="1"/>
        <rFont val="Avenir Next Regular"/>
      </rPr>
      <t xml:space="preserve">. Questo divario è probabilmente imputabile a diversi fattori, che possono riflettere una </t>
    </r>
    <r>
      <rPr>
        <b/>
        <sz val="12"/>
        <color theme="1"/>
        <rFont val="Avenir Next Regular"/>
      </rPr>
      <t>minore efficienza operativa della banca</t>
    </r>
    <r>
      <rPr>
        <sz val="12"/>
        <color theme="1"/>
        <rFont val="Avenir Next Regular"/>
      </rPr>
      <t xml:space="preserve">, ma esprimono anche il fatto che le banche </t>
    </r>
    <r>
      <rPr>
        <b/>
        <sz val="12"/>
        <color theme="1"/>
        <rFont val="Avenir Next Regular"/>
      </rPr>
      <t>tradizionali hanno registrato un sensibile incremento del ROTE negli ultimi anni,</t>
    </r>
    <r>
      <rPr>
        <sz val="12"/>
        <color theme="1"/>
        <rFont val="Avenir Next Regular"/>
      </rPr>
      <t xml:space="preserve"> principalmente grazie all’aumento dei tassi di interesse. Al contrario, gli operatori bancari specializzati nel wealth management presentano una struttura del capitale più leggera e ricavi prevalentemente derivanti da commissioni e attività di advisory: in questo contesto, il ROTE risulta generalmente più elevato, poiché la generazione di utili non richiede necessariamente un incremento proporzionale del capitale investito. </t>
    </r>
  </si>
  <si>
    <t>I dati finanziari sono ricavati da facset.com</t>
  </si>
  <si>
    <r>
      <t xml:space="preserve">Il </t>
    </r>
    <r>
      <rPr>
        <b/>
        <sz val="12"/>
        <color theme="1"/>
        <rFont val="Avenir Next Regular"/>
      </rPr>
      <t xml:space="preserve">C/I </t>
    </r>
    <r>
      <rPr>
        <sz val="12"/>
        <color theme="1"/>
        <rFont val="Avenir Next Regular"/>
      </rPr>
      <t xml:space="preserve">di mediobanca, ancora una volta si posiziona al di sotto dei gestori e al pari delle banche tradizionali, con l'eccezione di Unicredit che dimostra un ottima capacità nella gestione e ottimizzazione dei costi. </t>
    </r>
    <r>
      <rPr>
        <b/>
        <sz val="12"/>
        <color theme="1"/>
        <rFont val="Avenir Next Regular"/>
      </rPr>
      <t>Sicuramente anche il C/I potrebbe essere un ottimo driver per spiegare la differenza di valutazione</t>
    </r>
    <r>
      <rPr>
        <sz val="12"/>
        <color theme="1"/>
        <rFont val="Avenir Next Regular"/>
      </rPr>
      <t xml:space="preserve">. Mediobanca, presenta su questo fronte ha margini di miglioramento: lato costi facendo leva su </t>
    </r>
    <r>
      <rPr>
        <b/>
        <sz val="12"/>
        <color theme="1"/>
        <rFont val="Avenir Next Regular"/>
      </rPr>
      <t>digitalizzazione</t>
    </r>
    <r>
      <rPr>
        <sz val="12"/>
        <color theme="1"/>
        <rFont val="Avenir Next Regular"/>
      </rPr>
      <t xml:space="preserve"> delle </t>
    </r>
    <r>
      <rPr>
        <b/>
        <sz val="12"/>
        <color theme="1"/>
        <rFont val="Avenir Next Regular"/>
      </rPr>
      <t>operations</t>
    </r>
    <r>
      <rPr>
        <sz val="12"/>
        <color theme="1"/>
        <rFont val="Avenir Next Regular"/>
      </rPr>
      <t xml:space="preserve"> o svoltando ulteriormente verso attività più capital-light e meno onesrose in termini si costi; lato ricavi aumentando la base clienti, i mercati e innovando sui prodotti.</t>
    </r>
  </si>
  <si>
    <t>In questa analisi si è deciso di analizzare la correlazione tra la redditività delle banche, misurata tramite il ROTE (Return on Tangible Equity), rispetto ai principali multipli di valutazione come il P/B (Price-to-Book) e il P/E (Price-to-Earnings). L'obiettivo è comprendere se esiste un gap di valutazione sistematico tra le banche tradizionali e i gestori di risparmio, e in che misura tale gap sia giustificato da differenze strutturali in termini di redditività o crescita prospettica. L’analisi si basa sui dati finanziari delle principali banche italiane nel periodo 2022–2027.</t>
  </si>
  <si>
    <r>
      <t xml:space="preserve">L’analisi mostra un legame molto forte tra </t>
    </r>
    <r>
      <rPr>
        <b/>
        <sz val="12"/>
        <color theme="1"/>
        <rFont val="Avenir Next Regular"/>
      </rPr>
      <t>redditività tangibile (ROTE)</t>
    </r>
    <r>
      <rPr>
        <sz val="12"/>
        <color theme="1"/>
        <rFont val="Avenir Next Regular"/>
      </rPr>
      <t xml:space="preserve"> e il </t>
    </r>
    <r>
      <rPr>
        <b/>
        <sz val="12"/>
        <color theme="1"/>
        <rFont val="Avenir Next Regular"/>
      </rPr>
      <t>multiplo P/B</t>
    </r>
    <r>
      <rPr>
        <sz val="12"/>
        <color theme="1"/>
        <rFont val="Avenir Next Regular"/>
      </rPr>
      <t xml:space="preserve">, con un modello di regressione lineare che spiega circa il 76% della varianza osservata (R² = 0.76), significativamente più elevato rispetto al P/E.
Il modello evidenzia che ogni punto percentuale aggiuntivo di ROTE è associato a un incremento atteso di 0,094 punti nel P/B.
</t>
    </r>
  </si>
  <si>
    <r>
      <t xml:space="preserve">L’analisi mostra un </t>
    </r>
    <r>
      <rPr>
        <b/>
        <sz val="12"/>
        <color theme="1"/>
        <rFont val="Avenir Next Regular"/>
      </rPr>
      <t>legame significativo</t>
    </r>
    <r>
      <rPr>
        <sz val="12"/>
        <color theme="1"/>
        <rFont val="Avenir Next Regular"/>
      </rPr>
      <t xml:space="preserve"> tra </t>
    </r>
    <r>
      <rPr>
        <b/>
        <sz val="12"/>
        <color theme="1"/>
        <rFont val="Avenir Next Regular"/>
      </rPr>
      <t>redditività (ROTE)</t>
    </r>
    <r>
      <rPr>
        <sz val="12"/>
        <color theme="1"/>
        <rFont val="Avenir Next Regular"/>
      </rPr>
      <t xml:space="preserve"> e il multiplo </t>
    </r>
    <r>
      <rPr>
        <b/>
        <sz val="12"/>
        <color theme="1"/>
        <rFont val="Avenir Next Regular"/>
      </rPr>
      <t>P/E</t>
    </r>
    <r>
      <rPr>
        <sz val="12"/>
        <color theme="1"/>
        <rFont val="Avenir Next Regular"/>
      </rPr>
      <t>, con un modello di regressione lineare che spiega circa il 45,6% della varianza osservata (R² = 0.456), risultando più debole rispetto al P/B.
Il modello evidenzia che ogni punto percentuale aggiuntivo di ROTE è associato a un incremento atteso di 0,36 punti nel P/E.</t>
    </r>
  </si>
  <si>
    <t>3 leve per mantenere il ROTE in contesto di tassi in discesa</t>
  </si>
  <si>
    <t>Qui analizziamo 3 possibili leve per aumentare la redditività del gruppo, e di conseguenza la valutazione dei multipli. Nella nostra analisi successiva abbiamo scelto di utilizzare la leva dell'OPS, espandendo la quota di wealth management del gruppo.</t>
  </si>
  <si>
    <t>Calcolo del nuovo multiplo sistemico : un' analisii del dataset con python</t>
  </si>
  <si>
    <t xml:space="preserve">Cross-selling </t>
  </si>
  <si>
    <t>Ottimizzazione</t>
  </si>
  <si>
    <t>Best practises</t>
  </si>
  <si>
    <t>Crescita</t>
  </si>
  <si>
    <t>PULSANTI INTERATTIVI</t>
  </si>
  <si>
    <t>FONTE: FacSet.com</t>
  </si>
  <si>
    <t>Efficienze Scala</t>
  </si>
  <si>
    <t>IT</t>
  </si>
  <si>
    <t>HR</t>
  </si>
  <si>
    <t>ALM</t>
  </si>
  <si>
    <t>Cost of funding</t>
  </si>
  <si>
    <t>Incentivi</t>
  </si>
  <si>
    <t>Altro</t>
  </si>
  <si>
    <t>STABLE</t>
  </si>
  <si>
    <r>
      <rPr>
        <sz val="12"/>
        <color theme="1"/>
        <rFont val="Avenir Next Regular"/>
      </rPr>
      <t xml:space="preserve">Per aumentare il ROTE è anche possibile far leva direttamente sui </t>
    </r>
    <r>
      <rPr>
        <b/>
        <sz val="12"/>
        <color theme="1"/>
        <rFont val="Avenir Next Regular"/>
      </rPr>
      <t>ricavi</t>
    </r>
    <r>
      <rPr>
        <sz val="12"/>
        <color theme="1"/>
        <rFont val="Avenir Next Regular"/>
      </rPr>
      <t>, più precisamente perseguendo una maggio innovazione del prodotto. Ad esempio Compass è già un asset altamente redditizio (RoRWA ~2.9%), ma esiste ulteriore potenziale di espansione:
- Rafforzamento dell’offerta digitale (BNPL, onboarding remoto, prestiti personalizzati via app).
- Espansione in segmenti verticali (es. automotive, salute, education).
- Crescita selettiva dei volumi, mantenendo rigore su qualità del credito e profittabilità.</t>
    </r>
  </si>
  <si>
    <r>
      <rPr>
        <sz val="12"/>
        <color theme="1"/>
        <rFont val="Avenir Next Regular"/>
      </rPr>
      <t xml:space="preserve">La digitalizzazione è una </t>
    </r>
    <r>
      <rPr>
        <b/>
        <sz val="12"/>
        <color theme="1"/>
        <rFont val="Avenir Next Regular"/>
      </rPr>
      <t>leva trasversale</t>
    </r>
    <r>
      <rPr>
        <sz val="12"/>
        <color theme="1"/>
        <rFont val="Avenir Next Regular"/>
      </rPr>
      <t xml:space="preserve"> che aumenta la </t>
    </r>
    <r>
      <rPr>
        <b/>
        <sz val="12"/>
        <color theme="1"/>
        <rFont val="Avenir Next Regular"/>
      </rPr>
      <t>scalabilità</t>
    </r>
    <r>
      <rPr>
        <sz val="12"/>
        <color theme="1"/>
        <rFont val="Avenir Next Regular"/>
      </rPr>
      <t xml:space="preserve">, </t>
    </r>
    <r>
      <rPr>
        <b/>
        <sz val="12"/>
        <color theme="1"/>
        <rFont val="Avenir Next Regular"/>
      </rPr>
      <t>migliora la customer experience</t>
    </r>
    <r>
      <rPr>
        <sz val="12"/>
        <color theme="1"/>
        <rFont val="Avenir Next Regular"/>
      </rPr>
      <t xml:space="preserve"> e </t>
    </r>
    <r>
      <rPr>
        <b/>
        <sz val="12"/>
        <color theme="1"/>
        <rFont val="Avenir Next Regular"/>
      </rPr>
      <t>riduce il cost-to-serve</t>
    </r>
    <r>
      <rPr>
        <sz val="12"/>
        <color theme="1"/>
        <rFont val="Avenir Next Regular"/>
      </rPr>
      <t>:
- Sviluppo di piattaforme integrate per Private e Premier.
- Automazione nei processi di onboarding, consulenza, simulazione e reporting.
- Data analytics per ottimizzare offerta, pricing e coverage, sia in WM che in Consumer Finance.
- Miglioramento della capacità di cross-selling e fidelizzazione, con impatti diretti su margini e retention.</t>
    </r>
  </si>
  <si>
    <t>Caso Base: la previsione degli analisti</t>
  </si>
  <si>
    <t>Utili MB stimati (mln)</t>
  </si>
  <si>
    <t>Utili BG stimati (mln)</t>
  </si>
  <si>
    <t>P/E MB</t>
  </si>
  <si>
    <t>P/E BG</t>
  </si>
  <si>
    <t>Utili Sinergie MB+BG (mln)</t>
  </si>
  <si>
    <t>Dunque la nuova market cap verrà calcolata come la somma degli utili stimati per ambo gli operatori al 2028, sommata alle sinergie calcolate e il tutto moltiplicato per il multiplo. I multipli del caso base sono sempre quelli stiati dagli analisti, nel caso OPS quello stimato da noi</t>
  </si>
  <si>
    <t>Delta Market Cap</t>
  </si>
  <si>
    <t>Caso OPS : la nostra previsione post operazione</t>
  </si>
  <si>
    <t>Market Cap Stimata (MB+BG entità separate) (mln)</t>
  </si>
  <si>
    <t>Market Cap Stimata senza sinergie  (mln)</t>
  </si>
  <si>
    <t>Market Cap Stimata con sinergie  (mln)</t>
  </si>
  <si>
    <t>NOTE: i valori di previsione sono stati presi da Facset.com</t>
  </si>
  <si>
    <r>
      <t xml:space="preserve">Dopo l’acquisizione, </t>
    </r>
    <r>
      <rPr>
        <b/>
        <sz val="14"/>
        <color theme="1"/>
        <rFont val="Avenir Next Regular"/>
      </rPr>
      <t xml:space="preserve">il ROTE stimato passa da 12,4% a 20% </t>
    </r>
    <r>
      <rPr>
        <sz val="14"/>
        <color theme="1"/>
        <rFont val="Avenir Next Regular"/>
      </rPr>
      <t>(fonte Mediobanca), segnalando un forte miglioramento della redditività del gruppo.
Secondo il modello di regressione, con un ROTE al 20% il</t>
    </r>
    <r>
      <rPr>
        <b/>
        <sz val="14"/>
        <color theme="1"/>
        <rFont val="Avenir Next Regular"/>
      </rPr>
      <t xml:space="preserve"> P/E atteso sale a circa 10,6, ovvero +2,2 punti</t>
    </r>
    <r>
      <rPr>
        <sz val="14"/>
        <color theme="1"/>
        <rFont val="Avenir Next Regular"/>
      </rPr>
      <t xml:space="preserve"> di P/E, a parità di market sentiment. Inoltre, come vediamo dal grafico a sinistra e dalla tabella sulla destra, il modello sottostima Mediobanca mediamente di 1.8 dalla media:  significa che a differenza delle banche tradizionali, è comunque sempre sopravalutata a parità di ROTE, probabilmente grazie al suo business model altamente specializzato ma allostesso tempo diversificato. Quindi il multiplo verra calcolato aggiungendo il gap di valutazione e arriverà a </t>
    </r>
    <r>
      <rPr>
        <b/>
        <sz val="14"/>
        <color theme="1"/>
        <rFont val="Avenir Next Regular"/>
      </rPr>
      <t>12,4X.</t>
    </r>
    <r>
      <rPr>
        <sz val="14"/>
        <color theme="1"/>
        <rFont val="Avenir Next Regular"/>
      </rPr>
      <t xml:space="preserve">
</t>
    </r>
    <r>
      <rPr>
        <b/>
        <sz val="14"/>
        <color theme="1"/>
        <rFont val="Avenir Next Regular"/>
      </rPr>
      <t xml:space="preserve">
Dunque stimiamo che l'operazione porti a  un potenziale re-rating del titolo, riflettendo un mercato che valorizza di più una banca con redditività superiore.</t>
    </r>
  </si>
  <si>
    <t xml:space="preserve">Nel terzo e ultimo capitolo si analizza l’impatto finanziario dell’operazione di acquisizione, valutando se e in che misura possa generare valore per gli azionisti di Mediobanca. Si considera l’effetto di un eventuale aumento di capitale, il cambiamento atteso nei multipli di mercato post-fusione (in particolare P/E), e il contributo delle sinergie attese sia di costo che di ricavo. L’obiettivo è stimare il valore intrinseco del nuovo gruppo e comprendere se l’operazione risulti accrescitiva in termini di redditività, efficienza e valorizzazione di mercato.
</t>
  </si>
  <si>
    <t>Il secondo capitolo approfondisce il ruolo del ROTE (Return on Tangible Equity) come principale driver di valutazione per le banche analizzate. Dopo aver chiarito la sua natura e il legame con i multipli di mercato, vengono analizzate le leve strategiche e operative attraverso cui una banca può incrementare il proprio ROTE. Tra queste leve, l’attenzione si concentra sull’OPS strategico, e in particolare sull’acquisizione di Banca Generali da parte di Mediobanca, considerata come leva principale da approfondire in ottica di creazione di valore sostenibile.</t>
  </si>
  <si>
    <r>
      <t>In questo primo capitolo viene condotta un’</t>
    </r>
    <r>
      <rPr>
        <b/>
        <sz val="10"/>
        <color rgb="FF002060"/>
        <rFont val="Avenir Next Regular"/>
      </rPr>
      <t xml:space="preserve">analisi diagnostica </t>
    </r>
    <r>
      <rPr>
        <sz val="10"/>
        <color rgb="FF002060"/>
        <rFont val="Avenir Next Regular"/>
      </rPr>
      <t xml:space="preserve">dei multipli delle principali banche italiane quotate, con l’obiettivo di valutare se i multipli di mercato riflettano correttamente la redditività e il profilo di rischio dei singoli istituti. Attraverso l’esame comparato di indicatori chiave come P/E e P/BV, si cerca di capire quali banche vengano scambiate a premio o a sconto rispetto ai peer, evidenziando una netta distinzione tra gestori e banche tradizionali. </t>
    </r>
  </si>
  <si>
    <t>i valori sono ricavati da facset.com</t>
  </si>
  <si>
    <t>le stime sono ricavate dalla presentazione dell?OPS di mediobanca, sicavate dal sito della banca, sezione investors.</t>
  </si>
  <si>
    <t>le stime sono ricavate dalla presentazione dell' OPS di mediobanca, sicavate dal sito della banca, sezione investors e i valori al 2028 da facset.com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</si>
</sst>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0.00\ &quot;€&quot;;\-#,##0.00\ &quot;€&quot;"/>
    <numFmt numFmtId="44" formatCode="_-* #,##0.00\ &quot;€&quot;_-;\-* #,##0.00\ &quot;€&quot;_-;_-* &quot;-&quot;??\ &quot;€&quot;_-;_-@_-"/>
    <numFmt numFmtId="43" formatCode="_-* #,##0.00_-;\-* #,##0.00_-;_-* &quot;-&quot;??_-;_-@_-"/>
    <numFmt numFmtId="164" formatCode="0.000"/>
    <numFmt numFmtId="165" formatCode="0.0%"/>
    <numFmt numFmtId="166" formatCode="#,##0.00\ &quot;€&quot;"/>
    <numFmt numFmtId="167" formatCode="#,##0.00\ _€"/>
    <numFmt numFmtId="168" formatCode="#,##0\ _€"/>
  </numFmts>
  <fonts count="73">
    <font>
      <sz val="12"/>
      <color theme="1"/>
      <name val="Calibri"/>
      <family val="2"/>
      <scheme val="minor"/>
    </font>
    <font>
      <sz val="12"/>
      <color theme="1"/>
      <name val="Calibri"/>
      <family val="2"/>
      <scheme val="minor"/>
    </font>
    <font>
      <sz val="11"/>
      <color theme="1"/>
      <name val="Calibri"/>
      <family val="2"/>
      <scheme val="minor"/>
    </font>
    <font>
      <i/>
      <sz val="11"/>
      <color theme="1"/>
      <name val="Avenir Next Regular"/>
    </font>
    <font>
      <b/>
      <sz val="11"/>
      <color theme="1"/>
      <name val="Avenir Next Regular"/>
    </font>
    <font>
      <sz val="11"/>
      <color theme="1"/>
      <name val="Avenir Next Regular"/>
    </font>
    <font>
      <b/>
      <sz val="14"/>
      <color rgb="FFAA7900"/>
      <name val="Avenir Next Regular"/>
    </font>
    <font>
      <sz val="11"/>
      <color rgb="FF002060"/>
      <name val="Calibri"/>
      <family val="2"/>
      <scheme val="minor"/>
    </font>
    <font>
      <sz val="11"/>
      <color rgb="FF000000"/>
      <name val="Avenir Next Regular"/>
    </font>
    <font>
      <sz val="15"/>
      <color theme="1"/>
      <name val="Calibri"/>
      <family val="2"/>
      <scheme val="minor"/>
    </font>
    <font>
      <b/>
      <sz val="14"/>
      <color theme="1"/>
      <name val="Avenir Next Regular"/>
    </font>
    <font>
      <b/>
      <sz val="12"/>
      <color rgb="FF000000"/>
      <name val="Avenir Next Regular"/>
    </font>
    <font>
      <sz val="12"/>
      <color rgb="FF000000"/>
      <name val="Avenir Next Regular"/>
    </font>
    <font>
      <sz val="10"/>
      <color rgb="FF000000"/>
      <name val="Arial"/>
      <family val="2"/>
    </font>
    <font>
      <b/>
      <sz val="13"/>
      <color theme="1"/>
      <name val="Avenir Next Regular"/>
    </font>
    <font>
      <sz val="13"/>
      <color theme="1"/>
      <name val="Avenir Next Regular"/>
    </font>
    <font>
      <sz val="8"/>
      <name val="Calibri"/>
      <family val="2"/>
      <scheme val="minor"/>
    </font>
    <font>
      <sz val="16"/>
      <color theme="1"/>
      <name val="Avenir Next Regular"/>
    </font>
    <font>
      <sz val="14"/>
      <color theme="1"/>
      <name val="Avenir Next Regular"/>
    </font>
    <font>
      <sz val="12"/>
      <color theme="1"/>
      <name val="Avenir Next Regular"/>
    </font>
    <font>
      <sz val="10"/>
      <color rgb="FF000000"/>
      <name val="Avenir Next Regular"/>
    </font>
    <font>
      <sz val="10"/>
      <color theme="1"/>
      <name val="Avenir Next Regular"/>
    </font>
    <font>
      <b/>
      <sz val="11"/>
      <color rgb="FF000000"/>
      <name val="Avenir Next Regular"/>
    </font>
    <font>
      <i/>
      <sz val="11"/>
      <color theme="0"/>
      <name val="Avenir Next Regular"/>
    </font>
    <font>
      <i/>
      <sz val="11"/>
      <name val="Avenir Next Regular"/>
    </font>
    <font>
      <sz val="12"/>
      <color rgb="FF002060"/>
      <name val="Calibri"/>
      <family val="2"/>
      <scheme val="minor"/>
    </font>
    <font>
      <b/>
      <sz val="18"/>
      <color theme="7" tint="-0.499984740745262"/>
      <name val="Avenir Next Regular"/>
    </font>
    <font>
      <b/>
      <sz val="16"/>
      <color theme="7" tint="-0.499984740745262"/>
      <name val="Calibri"/>
      <family val="2"/>
      <scheme val="minor"/>
    </font>
    <font>
      <b/>
      <sz val="14"/>
      <color theme="7" tint="-0.499984740745262"/>
      <name val="Avenir Next Regular"/>
    </font>
    <font>
      <u/>
      <sz val="12"/>
      <color theme="10"/>
      <name val="Calibri"/>
      <family val="2"/>
      <scheme val="minor"/>
    </font>
    <font>
      <b/>
      <sz val="14"/>
      <color rgb="FFC00000"/>
      <name val="Avenir Next Regular"/>
    </font>
    <font>
      <b/>
      <sz val="14"/>
      <color theme="1"/>
      <name val="Calibri"/>
      <family val="2"/>
      <scheme val="minor"/>
    </font>
    <font>
      <b/>
      <sz val="12"/>
      <color theme="1"/>
      <name val="Avenir Next Regular"/>
    </font>
    <font>
      <sz val="11"/>
      <color rgb="FF002060"/>
      <name val="Avenir Next Regular"/>
    </font>
    <font>
      <u/>
      <sz val="11"/>
      <color theme="10"/>
      <name val="Calibri"/>
      <family val="2"/>
      <scheme val="minor"/>
    </font>
    <font>
      <u/>
      <sz val="11"/>
      <color rgb="FF002060"/>
      <name val="Avenir Next Regular"/>
    </font>
    <font>
      <b/>
      <sz val="12"/>
      <color rgb="FF002060"/>
      <name val="Avenir Next Regular"/>
    </font>
    <font>
      <b/>
      <sz val="14"/>
      <color rgb="FF002060"/>
      <name val="Avenir Next Regular"/>
    </font>
    <font>
      <sz val="10"/>
      <color rgb="FF002060"/>
      <name val="Avenir Next Regular"/>
    </font>
    <font>
      <sz val="12"/>
      <color theme="7" tint="-0.499984740745262"/>
      <name val="Calibri"/>
      <family val="2"/>
      <scheme val="minor"/>
    </font>
    <font>
      <sz val="14"/>
      <color theme="7" tint="-0.499984740745262"/>
      <name val="Calibri"/>
      <family val="2"/>
      <scheme val="minor"/>
    </font>
    <font>
      <b/>
      <sz val="16"/>
      <color theme="7" tint="-0.499984740745262"/>
      <name val="Avenir Next Regular"/>
    </font>
    <font>
      <sz val="11"/>
      <color theme="6" tint="0.59999389629810485"/>
      <name val="Calibri"/>
      <family val="2"/>
      <scheme val="minor"/>
    </font>
    <font>
      <b/>
      <sz val="12"/>
      <color theme="7" tint="-0.499984740745262"/>
      <name val="Avenir Next Regular"/>
    </font>
    <font>
      <sz val="30"/>
      <color theme="0"/>
      <name val="Calibri"/>
      <family val="2"/>
      <scheme val="minor"/>
    </font>
    <font>
      <b/>
      <sz val="10"/>
      <color rgb="FF000000"/>
      <name val="Arial"/>
      <family val="2"/>
    </font>
    <font>
      <sz val="14"/>
      <color rgb="FF000000"/>
      <name val="-webkit-standard"/>
    </font>
    <font>
      <sz val="12"/>
      <color rgb="FF000000"/>
      <name val="Aptos"/>
      <family val="2"/>
    </font>
    <font>
      <sz val="18"/>
      <name val="Arial"/>
      <family val="2"/>
    </font>
    <font>
      <b/>
      <sz val="12"/>
      <color rgb="FFFFFFFF"/>
      <name val="Aptos"/>
      <family val="2"/>
    </font>
    <font>
      <b/>
      <sz val="10"/>
      <color rgb="FF002060"/>
      <name val="Avenir Next Regular"/>
    </font>
    <font>
      <b/>
      <sz val="16"/>
      <color rgb="FF002060"/>
      <name val="Avenir Next Regular"/>
    </font>
    <font>
      <sz val="11"/>
      <color theme="8" tint="0.79998168889431442"/>
      <name val="Calibri"/>
      <family val="2"/>
      <scheme val="minor"/>
    </font>
    <font>
      <b/>
      <sz val="12"/>
      <color theme="8" tint="-0.499984740745262"/>
      <name val="Avenir Next Regular"/>
    </font>
    <font>
      <b/>
      <sz val="13"/>
      <color theme="8" tint="-0.499984740745262"/>
      <name val="Avenir Next Regular"/>
    </font>
    <font>
      <sz val="12"/>
      <color theme="8" tint="-0.499984740745262"/>
      <name val="Calibri"/>
      <family val="2"/>
      <scheme val="minor"/>
    </font>
    <font>
      <sz val="11"/>
      <color theme="8" tint="-0.499984740745262"/>
      <name val="Calibri"/>
      <family val="2"/>
      <scheme val="minor"/>
    </font>
    <font>
      <b/>
      <sz val="12"/>
      <color rgb="FFAA7900"/>
      <name val="Avenir Next Regular"/>
    </font>
    <font>
      <b/>
      <sz val="18"/>
      <color theme="8" tint="-0.499984740745262"/>
      <name val="Avenir Next Regular"/>
    </font>
    <font>
      <b/>
      <sz val="16"/>
      <color theme="10"/>
      <name val="Avenir Next Regular"/>
    </font>
    <font>
      <b/>
      <sz val="12"/>
      <color theme="1"/>
      <name val="Calibri"/>
      <family val="2"/>
      <scheme val="minor"/>
    </font>
    <font>
      <b/>
      <sz val="16"/>
      <color theme="1"/>
      <name val="Avenir Next Regular"/>
    </font>
    <font>
      <b/>
      <sz val="16"/>
      <color theme="0"/>
      <name val="Avenir Next Regular"/>
    </font>
    <font>
      <b/>
      <sz val="12"/>
      <color theme="0"/>
      <name val="Avenir Next Regular"/>
    </font>
    <font>
      <b/>
      <sz val="11"/>
      <color theme="0"/>
      <name val="Avenir Next Regular"/>
    </font>
    <font>
      <sz val="11"/>
      <color rgb="FFC00000"/>
      <name val="Calibri"/>
      <family val="2"/>
      <scheme val="minor"/>
    </font>
    <font>
      <b/>
      <sz val="11"/>
      <color theme="1"/>
      <name val="Calibri"/>
      <family val="2"/>
      <scheme val="minor"/>
    </font>
    <font>
      <b/>
      <sz val="12"/>
      <color theme="9" tint="-0.499984740745262"/>
      <name val="Avenir Next Regular"/>
    </font>
    <font>
      <sz val="10"/>
      <color theme="1"/>
      <name val="Calibri"/>
      <family val="2"/>
      <scheme val="minor"/>
    </font>
    <font>
      <sz val="10"/>
      <color theme="1"/>
      <name val="Arial"/>
      <family val="2"/>
    </font>
    <font>
      <b/>
      <sz val="11"/>
      <color theme="9" tint="-0.499984740745262"/>
      <name val="Avenir Next Regular"/>
    </font>
    <font>
      <sz val="14"/>
      <color theme="1"/>
      <name val="Calibri"/>
      <family val="2"/>
      <scheme val="minor"/>
    </font>
    <font>
      <b/>
      <sz val="12"/>
      <color theme="5" tint="-0.249977111117893"/>
      <name val="Avenir Next Regular"/>
    </font>
  </fonts>
  <fills count="30">
    <fill>
      <patternFill patternType="none"/>
    </fill>
    <fill>
      <patternFill patternType="gray125"/>
    </fill>
    <fill>
      <patternFill patternType="solid">
        <fgColor theme="6" tint="0.79998168889431442"/>
        <bgColor indexed="65"/>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FF"/>
        <bgColor rgb="FFFFFFFF"/>
      </patternFill>
    </fill>
    <fill>
      <patternFill patternType="solid">
        <fgColor rgb="FFDAEEF3"/>
        <bgColor rgb="FFDAEEF3"/>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2F2F2"/>
        <bgColor rgb="FF000000"/>
      </patternFill>
    </fill>
    <fill>
      <patternFill patternType="solid">
        <fgColor rgb="FFC00000"/>
        <bgColor indexed="64"/>
      </patternFill>
    </fill>
    <fill>
      <patternFill patternType="solid">
        <fgColor theme="9"/>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rgb="FFCCC0DA"/>
      </patternFill>
    </fill>
    <fill>
      <patternFill patternType="solid">
        <fgColor theme="8" tint="0.79998168889431442"/>
        <bgColor rgb="FFDAEEF3"/>
      </patternFill>
    </fill>
    <fill>
      <patternFill patternType="solid">
        <fgColor theme="8" tint="0.79998168889431442"/>
        <bgColor rgb="FFCCC0DA"/>
      </patternFill>
    </fill>
    <fill>
      <patternFill patternType="solid">
        <fgColor theme="7" tint="0.79998168889431442"/>
        <bgColor rgb="FFFCD5B4"/>
      </patternFill>
    </fill>
    <fill>
      <patternFill patternType="solid">
        <fgColor theme="7" tint="0.79998168889431442"/>
        <bgColor rgb="FFCCC0DA"/>
      </patternFill>
    </fill>
    <fill>
      <patternFill patternType="solid">
        <fgColor theme="7" tint="0.79998168889431442"/>
        <bgColor rgb="FFA4C2F4"/>
      </patternFill>
    </fill>
    <fill>
      <patternFill patternType="solid">
        <fgColor theme="7" tint="0.79998168889431442"/>
        <bgColor rgb="FFC9DAF8"/>
      </patternFill>
    </fill>
    <fill>
      <patternFill patternType="solid">
        <fgColor theme="6"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00"/>
        <bgColor indexed="64"/>
      </patternFill>
    </fill>
  </fills>
  <borders count="16">
    <border>
      <left/>
      <right/>
      <top/>
      <bottom/>
      <diagonal/>
    </border>
    <border>
      <left/>
      <right/>
      <top/>
      <bottom style="medium">
        <color indexed="64"/>
      </bottom>
      <diagonal/>
    </border>
    <border>
      <left/>
      <right/>
      <top style="medium">
        <color indexed="64"/>
      </top>
      <bottom/>
      <diagonal/>
    </border>
    <border>
      <left/>
      <right style="thin">
        <color indexed="64"/>
      </right>
      <top/>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right style="thin">
        <color indexed="64"/>
      </right>
      <top style="medium">
        <color indexed="64"/>
      </top>
      <bottom/>
      <diagonal/>
    </border>
    <border>
      <left/>
      <right/>
      <top style="thin">
        <color rgb="FF000000"/>
      </top>
      <bottom/>
      <diagonal/>
    </border>
    <border>
      <left/>
      <right style="thin">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top style="medium">
        <color indexed="64"/>
      </top>
      <bottom/>
      <diagonal/>
    </border>
    <border>
      <left/>
      <right/>
      <top style="medium">
        <color indexed="64"/>
      </top>
      <bottom style="medium">
        <color indexed="64"/>
      </bottom>
      <diagonal/>
    </border>
    <border>
      <left style="thin">
        <color rgb="FF000000"/>
      </left>
      <right/>
      <top/>
      <bottom/>
      <diagonal/>
    </border>
    <border>
      <left style="medium">
        <color indexed="64"/>
      </left>
      <right/>
      <top style="medium">
        <color indexed="64"/>
      </top>
      <bottom/>
      <diagonal/>
    </border>
  </borders>
  <cellStyleXfs count="10">
    <xf numFmtId="0" fontId="0" fillId="0" borderId="0"/>
    <xf numFmtId="9" fontId="1" fillId="0" borderId="0" applyFont="0" applyFill="0" applyBorder="0" applyAlignment="0" applyProtection="0"/>
    <xf numFmtId="0" fontId="1" fillId="2" borderId="0" applyNumberFormat="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43" fontId="1" fillId="0" borderId="0" applyFont="0" applyFill="0" applyBorder="0" applyAlignment="0" applyProtection="0"/>
    <xf numFmtId="0" fontId="29" fillId="0" borderId="0" applyNumberFormat="0" applyFill="0" applyBorder="0" applyAlignment="0" applyProtection="0"/>
    <xf numFmtId="0" fontId="34" fillId="0" borderId="0" applyNumberFormat="0" applyFill="0" applyBorder="0" applyAlignment="0" applyProtection="0"/>
    <xf numFmtId="9" fontId="1" fillId="0" borderId="0" applyFont="0" applyFill="0" applyBorder="0" applyAlignment="0" applyProtection="0"/>
  </cellStyleXfs>
  <cellXfs count="379">
    <xf numFmtId="0" fontId="0" fillId="0" borderId="0" xfId="0"/>
    <xf numFmtId="0" fontId="2" fillId="0" borderId="0" xfId="3"/>
    <xf numFmtId="0" fontId="5" fillId="0" borderId="0" xfId="3" applyFont="1"/>
    <xf numFmtId="0" fontId="7" fillId="5" borderId="1" xfId="0" applyFont="1" applyFill="1" applyBorder="1"/>
    <xf numFmtId="0" fontId="2" fillId="4" borderId="0" xfId="3" applyFill="1"/>
    <xf numFmtId="0" fontId="4" fillId="4" borderId="1" xfId="3" applyFont="1" applyFill="1" applyBorder="1"/>
    <xf numFmtId="0" fontId="2" fillId="0" borderId="6" xfId="3" applyBorder="1"/>
    <xf numFmtId="0" fontId="2" fillId="0" borderId="3" xfId="3" applyBorder="1"/>
    <xf numFmtId="0" fontId="2" fillId="0" borderId="0" xfId="3" applyAlignment="1">
      <alignment horizontal="center"/>
    </xf>
    <xf numFmtId="0" fontId="13" fillId="7" borderId="0" xfId="0" applyFont="1" applyFill="1"/>
    <xf numFmtId="0" fontId="2" fillId="6" borderId="0" xfId="3" applyFill="1"/>
    <xf numFmtId="0" fontId="4" fillId="4" borderId="0" xfId="3" applyFont="1" applyFill="1"/>
    <xf numFmtId="0" fontId="17" fillId="0" borderId="0" xfId="3" applyFont="1" applyAlignment="1">
      <alignment vertical="top" wrapText="1"/>
    </xf>
    <xf numFmtId="0" fontId="17" fillId="0" borderId="0" xfId="3" applyFont="1" applyAlignment="1">
      <alignment vertical="top"/>
    </xf>
    <xf numFmtId="0" fontId="4" fillId="9" borderId="1" xfId="3" applyFont="1" applyFill="1" applyBorder="1"/>
    <xf numFmtId="0" fontId="4" fillId="10" borderId="1" xfId="3" applyFont="1" applyFill="1" applyBorder="1"/>
    <xf numFmtId="0" fontId="4" fillId="6" borderId="1" xfId="3" applyFont="1" applyFill="1" applyBorder="1" applyAlignment="1">
      <alignment horizontal="left"/>
    </xf>
    <xf numFmtId="0" fontId="7" fillId="5" borderId="9" xfId="0" applyFont="1" applyFill="1" applyBorder="1"/>
    <xf numFmtId="0" fontId="4" fillId="0" borderId="0" xfId="3" applyFont="1"/>
    <xf numFmtId="0" fontId="4" fillId="3" borderId="0" xfId="3" applyFont="1" applyFill="1"/>
    <xf numFmtId="0" fontId="5" fillId="0" borderId="0" xfId="3" applyFont="1" applyAlignment="1">
      <alignment vertical="top"/>
    </xf>
    <xf numFmtId="9" fontId="5" fillId="2" borderId="0" xfId="1" applyFont="1" applyFill="1" applyBorder="1"/>
    <xf numFmtId="0" fontId="3" fillId="0" borderId="0" xfId="3" applyFont="1" applyAlignment="1">
      <alignment horizontal="right"/>
    </xf>
    <xf numFmtId="0" fontId="5" fillId="0" borderId="0" xfId="3" applyFont="1" applyAlignment="1">
      <alignment horizontal="left"/>
    </xf>
    <xf numFmtId="0" fontId="4" fillId="0" borderId="0" xfId="3" applyFont="1" applyAlignment="1">
      <alignment horizontal="left"/>
    </xf>
    <xf numFmtId="0" fontId="5" fillId="5" borderId="0" xfId="3" applyFont="1" applyFill="1"/>
    <xf numFmtId="0" fontId="2" fillId="5" borderId="0" xfId="3" applyFill="1"/>
    <xf numFmtId="0" fontId="6" fillId="0" borderId="0" xfId="0" applyFont="1"/>
    <xf numFmtId="0" fontId="19" fillId="0" borderId="0" xfId="0" applyFont="1"/>
    <xf numFmtId="0" fontId="15" fillId="0" borderId="0" xfId="3" applyFont="1" applyAlignment="1">
      <alignment vertical="top"/>
    </xf>
    <xf numFmtId="0" fontId="15" fillId="0" borderId="0" xfId="3" applyFont="1" applyAlignment="1">
      <alignment vertical="top" wrapText="1"/>
    </xf>
    <xf numFmtId="0" fontId="5" fillId="0" borderId="0" xfId="0" applyFont="1"/>
    <xf numFmtId="164" fontId="5" fillId="0" borderId="0" xfId="0" applyNumberFormat="1" applyFont="1"/>
    <xf numFmtId="0" fontId="2" fillId="9" borderId="1" xfId="3" applyFill="1" applyBorder="1"/>
    <xf numFmtId="0" fontId="4" fillId="15" borderId="1" xfId="0" applyFont="1" applyFill="1" applyBorder="1"/>
    <xf numFmtId="0" fontId="4" fillId="16" borderId="1" xfId="0" applyFont="1" applyFill="1" applyBorder="1"/>
    <xf numFmtId="0" fontId="9" fillId="0" borderId="0" xfId="3" applyFont="1" applyAlignment="1">
      <alignment horizontal="center" vertical="center"/>
    </xf>
    <xf numFmtId="0" fontId="25" fillId="5" borderId="0" xfId="3" applyFont="1" applyFill="1"/>
    <xf numFmtId="0" fontId="7" fillId="5" borderId="0" xfId="3" applyFont="1" applyFill="1"/>
    <xf numFmtId="0" fontId="6" fillId="0" borderId="1" xfId="0" applyFont="1" applyBorder="1"/>
    <xf numFmtId="0" fontId="28" fillId="0" borderId="0" xfId="0" applyFont="1"/>
    <xf numFmtId="0" fontId="6" fillId="6" borderId="9" xfId="0" applyFont="1" applyFill="1" applyBorder="1"/>
    <xf numFmtId="0" fontId="6" fillId="0" borderId="9" xfId="0" applyFont="1" applyBorder="1"/>
    <xf numFmtId="0" fontId="17" fillId="0" borderId="6" xfId="3" applyFont="1" applyBorder="1" applyAlignment="1">
      <alignment vertical="top" wrapText="1"/>
    </xf>
    <xf numFmtId="0" fontId="2" fillId="5" borderId="1" xfId="3" applyFill="1" applyBorder="1"/>
    <xf numFmtId="7" fontId="4" fillId="0" borderId="0" xfId="3" applyNumberFormat="1" applyFont="1"/>
    <xf numFmtId="0" fontId="0" fillId="5" borderId="0" xfId="0" applyFill="1"/>
    <xf numFmtId="0" fontId="5" fillId="0" borderId="0" xfId="0" applyFont="1" applyAlignment="1">
      <alignment horizontal="left" vertical="top" wrapText="1"/>
    </xf>
    <xf numFmtId="0" fontId="5" fillId="0" borderId="0" xfId="0" applyFont="1" applyAlignment="1">
      <alignment vertical="top" wrapText="1"/>
    </xf>
    <xf numFmtId="0" fontId="37" fillId="0" borderId="0" xfId="0" applyFont="1" applyAlignment="1">
      <alignment horizontal="left"/>
    </xf>
    <xf numFmtId="0" fontId="35" fillId="0" borderId="0" xfId="7" applyFont="1" applyBorder="1" applyAlignment="1">
      <alignment horizontal="center" vertical="center"/>
    </xf>
    <xf numFmtId="0" fontId="36" fillId="0" borderId="1" xfId="0" applyFont="1" applyBorder="1"/>
    <xf numFmtId="0" fontId="33" fillId="0" borderId="1" xfId="0" applyFont="1" applyBorder="1"/>
    <xf numFmtId="0" fontId="0" fillId="0" borderId="1" xfId="0" applyBorder="1"/>
    <xf numFmtId="0" fontId="35" fillId="0" borderId="1" xfId="7" applyFont="1" applyBorder="1" applyAlignment="1">
      <alignment horizontal="center" vertical="center"/>
    </xf>
    <xf numFmtId="0" fontId="39" fillId="5" borderId="0" xfId="3" applyFont="1" applyFill="1"/>
    <xf numFmtId="0" fontId="19" fillId="0" borderId="0" xfId="3" applyFont="1" applyAlignment="1">
      <alignment vertical="top" wrapText="1"/>
    </xf>
    <xf numFmtId="0" fontId="2" fillId="0" borderId="1" xfId="3" applyBorder="1"/>
    <xf numFmtId="0" fontId="2" fillId="0" borderId="4" xfId="3" applyBorder="1"/>
    <xf numFmtId="0" fontId="5" fillId="0" borderId="0" xfId="3" applyFont="1" applyAlignment="1">
      <alignment horizontal="center" vertical="center"/>
    </xf>
    <xf numFmtId="0" fontId="42" fillId="6" borderId="1" xfId="3" applyFont="1" applyFill="1" applyBorder="1"/>
    <xf numFmtId="0" fontId="32" fillId="6" borderId="1" xfId="3" applyFont="1" applyFill="1" applyBorder="1"/>
    <xf numFmtId="0" fontId="5" fillId="4" borderId="0" xfId="3" applyFont="1" applyFill="1" applyAlignment="1">
      <alignment horizontal="center" vertical="center"/>
    </xf>
    <xf numFmtId="0" fontId="5" fillId="5" borderId="0" xfId="3" applyFont="1" applyFill="1" applyAlignment="1">
      <alignment horizontal="center" vertical="center"/>
    </xf>
    <xf numFmtId="9" fontId="4" fillId="5" borderId="0" xfId="5" applyFont="1" applyFill="1" applyAlignment="1">
      <alignment horizontal="center" vertical="center"/>
    </xf>
    <xf numFmtId="0" fontId="5" fillId="5" borderId="0" xfId="3" applyFont="1" applyFill="1" applyAlignment="1">
      <alignment horizontal="left" vertical="center"/>
    </xf>
    <xf numFmtId="0" fontId="4" fillId="0" borderId="1" xfId="3" applyFont="1" applyBorder="1" applyAlignment="1">
      <alignment horizontal="center" vertical="center"/>
    </xf>
    <xf numFmtId="0" fontId="4" fillId="0" borderId="1" xfId="3" applyFont="1" applyBorder="1"/>
    <xf numFmtId="0" fontId="4" fillId="0" borderId="0" xfId="3" applyFont="1" applyAlignment="1">
      <alignment horizontal="center" vertical="center"/>
    </xf>
    <xf numFmtId="0" fontId="22" fillId="0" borderId="0" xfId="3" applyFont="1" applyAlignment="1">
      <alignment horizontal="left" vertical="top" wrapText="1"/>
    </xf>
    <xf numFmtId="0" fontId="22" fillId="0" borderId="0" xfId="3" applyFont="1" applyAlignment="1">
      <alignment vertical="top" wrapText="1"/>
    </xf>
    <xf numFmtId="0" fontId="43" fillId="0" borderId="0" xfId="3" applyFont="1" applyAlignment="1">
      <alignment horizontal="left" vertical="center" wrapText="1"/>
    </xf>
    <xf numFmtId="0" fontId="5" fillId="0" borderId="0" xfId="3" applyFont="1" applyAlignment="1">
      <alignment vertical="center"/>
    </xf>
    <xf numFmtId="0" fontId="13" fillId="8" borderId="0" xfId="3" applyFont="1" applyFill="1"/>
    <xf numFmtId="0" fontId="5" fillId="5" borderId="0" xfId="3" applyFont="1" applyFill="1" applyAlignment="1">
      <alignment vertical="center"/>
    </xf>
    <xf numFmtId="0" fontId="45" fillId="7" borderId="1" xfId="3" applyFont="1" applyFill="1" applyBorder="1" applyAlignment="1">
      <alignment horizontal="right"/>
    </xf>
    <xf numFmtId="0" fontId="22" fillId="0" borderId="0" xfId="3" applyFont="1"/>
    <xf numFmtId="0" fontId="12" fillId="0" borderId="0" xfId="3" applyFont="1"/>
    <xf numFmtId="0" fontId="43" fillId="5" borderId="1" xfId="3" applyFont="1" applyFill="1" applyBorder="1" applyAlignment="1">
      <alignment horizontal="left" vertical="center" wrapText="1"/>
    </xf>
    <xf numFmtId="0" fontId="4" fillId="5" borderId="0" xfId="3" applyFont="1" applyFill="1" applyAlignment="1">
      <alignment vertical="center"/>
    </xf>
    <xf numFmtId="0" fontId="46" fillId="0" borderId="0" xfId="3" applyFont="1"/>
    <xf numFmtId="0" fontId="37" fillId="0" borderId="0" xfId="3" applyFont="1"/>
    <xf numFmtId="0" fontId="2" fillId="18" borderId="1" xfId="3" applyFill="1" applyBorder="1"/>
    <xf numFmtId="0" fontId="32" fillId="18" borderId="1" xfId="3" applyFont="1" applyFill="1" applyBorder="1"/>
    <xf numFmtId="0" fontId="47" fillId="0" borderId="0" xfId="3" applyFont="1" applyAlignment="1">
      <alignment horizontal="center" vertical="center" wrapText="1" readingOrder="1"/>
    </xf>
    <xf numFmtId="9" fontId="47" fillId="0" borderId="0" xfId="3" applyNumberFormat="1" applyFont="1" applyAlignment="1">
      <alignment horizontal="center" vertical="center" wrapText="1" readingOrder="1"/>
    </xf>
    <xf numFmtId="10" fontId="47" fillId="0" borderId="0" xfId="3" applyNumberFormat="1" applyFont="1" applyAlignment="1">
      <alignment horizontal="center" vertical="center" wrapText="1" readingOrder="1"/>
    </xf>
    <xf numFmtId="0" fontId="49" fillId="0" borderId="0" xfId="3" applyFont="1" applyAlignment="1">
      <alignment horizontal="center" vertical="center" wrapText="1" readingOrder="1"/>
    </xf>
    <xf numFmtId="0" fontId="19" fillId="0" borderId="1" xfId="0" applyFont="1" applyBorder="1"/>
    <xf numFmtId="0" fontId="20" fillId="7" borderId="1" xfId="0" applyFont="1" applyFill="1" applyBorder="1" applyAlignment="1">
      <alignment horizontal="left"/>
    </xf>
    <xf numFmtId="0" fontId="21" fillId="0" borderId="1" xfId="0" applyFont="1" applyBorder="1" applyAlignment="1">
      <alignment horizontal="left"/>
    </xf>
    <xf numFmtId="0" fontId="21" fillId="0" borderId="1" xfId="0" applyFont="1" applyBorder="1"/>
    <xf numFmtId="0" fontId="19" fillId="0" borderId="1" xfId="0" applyFont="1" applyBorder="1" applyAlignment="1">
      <alignment horizontal="right"/>
    </xf>
    <xf numFmtId="0" fontId="8" fillId="19" borderId="0" xfId="0" applyFont="1" applyFill="1"/>
    <xf numFmtId="10" fontId="20" fillId="19" borderId="0" xfId="0" applyNumberFormat="1" applyFont="1" applyFill="1"/>
    <xf numFmtId="0" fontId="20" fillId="19" borderId="0" xfId="0" applyFont="1" applyFill="1"/>
    <xf numFmtId="2" fontId="20" fillId="19" borderId="0" xfId="0" applyNumberFormat="1" applyFont="1" applyFill="1"/>
    <xf numFmtId="0" fontId="19" fillId="4" borderId="0" xfId="0" applyFont="1" applyFill="1"/>
    <xf numFmtId="0" fontId="8" fillId="20" borderId="0" xfId="0" applyFont="1" applyFill="1"/>
    <xf numFmtId="10" fontId="20" fillId="20" borderId="0" xfId="0" applyNumberFormat="1" applyFont="1" applyFill="1"/>
    <xf numFmtId="0" fontId="20" fillId="20" borderId="0" xfId="0" applyFont="1" applyFill="1"/>
    <xf numFmtId="2" fontId="20" fillId="21" borderId="0" xfId="0" applyNumberFormat="1" applyFont="1" applyFill="1"/>
    <xf numFmtId="0" fontId="19" fillId="5" borderId="0" xfId="0" applyFont="1" applyFill="1"/>
    <xf numFmtId="0" fontId="8" fillId="22" borderId="0" xfId="0" applyFont="1" applyFill="1"/>
    <xf numFmtId="10" fontId="20" fillId="22" borderId="0" xfId="0" applyNumberFormat="1" applyFont="1" applyFill="1"/>
    <xf numFmtId="0" fontId="20" fillId="22" borderId="0" xfId="0" applyFont="1" applyFill="1"/>
    <xf numFmtId="2" fontId="20" fillId="23" borderId="0" xfId="0" applyNumberFormat="1" applyFont="1" applyFill="1"/>
    <xf numFmtId="0" fontId="19" fillId="9" borderId="0" xfId="0" applyFont="1" applyFill="1"/>
    <xf numFmtId="0" fontId="21" fillId="24" borderId="14" xfId="0" applyFont="1" applyFill="1" applyBorder="1"/>
    <xf numFmtId="10" fontId="21" fillId="9" borderId="0" xfId="1" applyNumberFormat="1" applyFont="1" applyFill="1"/>
    <xf numFmtId="0" fontId="21" fillId="25" borderId="0" xfId="0" applyFont="1" applyFill="1"/>
    <xf numFmtId="10" fontId="21" fillId="9" borderId="0" xfId="0" applyNumberFormat="1" applyFont="1" applyFill="1"/>
    <xf numFmtId="0" fontId="8" fillId="21" borderId="8" xfId="0" applyFont="1" applyFill="1" applyBorder="1"/>
    <xf numFmtId="10" fontId="21" fillId="21" borderId="0" xfId="0" applyNumberFormat="1" applyFont="1" applyFill="1"/>
    <xf numFmtId="0" fontId="20" fillId="21" borderId="0" xfId="0" applyFont="1" applyFill="1"/>
    <xf numFmtId="0" fontId="8" fillId="21" borderId="0" xfId="0" applyFont="1" applyFill="1"/>
    <xf numFmtId="10" fontId="21" fillId="20" borderId="0" xfId="0" applyNumberFormat="1" applyFont="1" applyFill="1"/>
    <xf numFmtId="10" fontId="21" fillId="22" borderId="0" xfId="0" applyNumberFormat="1" applyFont="1" applyFill="1"/>
    <xf numFmtId="165" fontId="21" fillId="9" borderId="0" xfId="1" applyNumberFormat="1" applyFont="1" applyFill="1"/>
    <xf numFmtId="0" fontId="8" fillId="19" borderId="8" xfId="0" applyFont="1" applyFill="1" applyBorder="1"/>
    <xf numFmtId="0" fontId="0" fillId="4" borderId="0" xfId="0" applyFill="1"/>
    <xf numFmtId="0" fontId="19" fillId="0" borderId="0" xfId="3" applyFont="1" applyAlignment="1">
      <alignment vertical="top"/>
    </xf>
    <xf numFmtId="0" fontId="5" fillId="4" borderId="0" xfId="3" applyFont="1" applyFill="1" applyAlignment="1">
      <alignment vertical="center"/>
    </xf>
    <xf numFmtId="0" fontId="5" fillId="4" borderId="0" xfId="3" applyFont="1" applyFill="1" applyAlignment="1">
      <alignment horizontal="left" vertical="center"/>
    </xf>
    <xf numFmtId="0" fontId="5" fillId="9" borderId="0" xfId="3" applyFont="1" applyFill="1"/>
    <xf numFmtId="0" fontId="5" fillId="9" borderId="0" xfId="3" applyFont="1" applyFill="1" applyAlignment="1">
      <alignment horizontal="center" vertical="center"/>
    </xf>
    <xf numFmtId="0" fontId="5" fillId="9" borderId="0" xfId="3" applyFont="1" applyFill="1" applyAlignment="1">
      <alignment horizontal="left" vertical="center"/>
    </xf>
    <xf numFmtId="0" fontId="38" fillId="0" borderId="0" xfId="0" applyFont="1" applyAlignment="1">
      <alignment vertical="top"/>
    </xf>
    <xf numFmtId="9" fontId="5" fillId="4" borderId="0" xfId="5" applyFont="1" applyFill="1" applyAlignment="1">
      <alignment horizontal="center" vertical="center"/>
    </xf>
    <xf numFmtId="9" fontId="5" fillId="9" borderId="0" xfId="5" applyFont="1" applyFill="1" applyAlignment="1">
      <alignment horizontal="center" vertical="center"/>
    </xf>
    <xf numFmtId="0" fontId="5" fillId="4" borderId="0" xfId="3" applyFont="1" applyFill="1"/>
    <xf numFmtId="0" fontId="5" fillId="0" borderId="0" xfId="3" applyFont="1" applyAlignment="1">
      <alignment horizontal="left" vertical="center"/>
    </xf>
    <xf numFmtId="0" fontId="44" fillId="0" borderId="0" xfId="3" applyFont="1" applyAlignment="1">
      <alignment vertical="center"/>
    </xf>
    <xf numFmtId="0" fontId="13" fillId="22" borderId="0" xfId="3" applyFont="1" applyFill="1"/>
    <xf numFmtId="0" fontId="13" fillId="19" borderId="0" xfId="3" applyFont="1" applyFill="1"/>
    <xf numFmtId="0" fontId="43" fillId="0" borderId="0" xfId="3" applyFont="1" applyAlignment="1">
      <alignment vertical="center" wrapText="1"/>
    </xf>
    <xf numFmtId="0" fontId="19" fillId="0" borderId="0" xfId="3" applyFont="1" applyAlignment="1">
      <alignment horizontal="left" vertical="top" wrapText="1"/>
    </xf>
    <xf numFmtId="0" fontId="2" fillId="9" borderId="0" xfId="3" applyFill="1"/>
    <xf numFmtId="0" fontId="13" fillId="20" borderId="0" xfId="3" applyFont="1" applyFill="1"/>
    <xf numFmtId="0" fontId="19" fillId="0" borderId="1" xfId="3" applyFont="1" applyBorder="1" applyAlignment="1">
      <alignment vertical="top" wrapText="1"/>
    </xf>
    <xf numFmtId="0" fontId="2" fillId="5" borderId="11" xfId="3" applyFill="1" applyBorder="1"/>
    <xf numFmtId="0" fontId="51" fillId="5" borderId="1" xfId="3" applyFont="1" applyFill="1" applyBorder="1"/>
    <xf numFmtId="0" fontId="51" fillId="5" borderId="11" xfId="3" applyFont="1" applyFill="1" applyBorder="1"/>
    <xf numFmtId="0" fontId="51" fillId="0" borderId="0" xfId="3" applyFont="1"/>
    <xf numFmtId="0" fontId="51" fillId="0" borderId="10" xfId="3" applyFont="1" applyBorder="1"/>
    <xf numFmtId="0" fontId="52" fillId="0" borderId="0" xfId="0" applyFont="1" applyAlignment="1">
      <alignment vertical="top"/>
    </xf>
    <xf numFmtId="0" fontId="0" fillId="0" borderId="0" xfId="0" applyAlignment="1">
      <alignment vertical="top"/>
    </xf>
    <xf numFmtId="0" fontId="41" fillId="5" borderId="1" xfId="3" applyFont="1" applyFill="1" applyBorder="1"/>
    <xf numFmtId="0" fontId="53" fillId="5" borderId="1" xfId="0" applyFont="1" applyFill="1" applyBorder="1" applyAlignment="1">
      <alignment vertical="top"/>
    </xf>
    <xf numFmtId="0" fontId="55" fillId="5" borderId="1" xfId="0" applyFont="1" applyFill="1" applyBorder="1" applyAlignment="1">
      <alignment vertical="top"/>
    </xf>
    <xf numFmtId="0" fontId="56" fillId="5" borderId="1" xfId="0" applyFont="1" applyFill="1" applyBorder="1" applyAlignment="1">
      <alignment vertical="top"/>
    </xf>
    <xf numFmtId="0" fontId="19" fillId="0" borderId="0" xfId="0" applyFont="1" applyAlignment="1">
      <alignment vertical="top" wrapText="1"/>
    </xf>
    <xf numFmtId="0" fontId="19" fillId="0" borderId="0" xfId="0" applyFont="1" applyAlignment="1">
      <alignment vertical="top"/>
    </xf>
    <xf numFmtId="0" fontId="19" fillId="4" borderId="0" xfId="0" applyFont="1" applyFill="1" applyAlignment="1">
      <alignment vertical="top"/>
    </xf>
    <xf numFmtId="0" fontId="0" fillId="0" borderId="4" xfId="0" applyBorder="1"/>
    <xf numFmtId="0" fontId="19" fillId="4" borderId="0" xfId="0" applyFont="1" applyFill="1" applyAlignment="1">
      <alignment vertical="top" wrapText="1"/>
    </xf>
    <xf numFmtId="0" fontId="53" fillId="4" borderId="0" xfId="0" applyFont="1" applyFill="1"/>
    <xf numFmtId="0" fontId="19" fillId="0" borderId="10" xfId="0" applyFont="1" applyBorder="1" applyAlignment="1">
      <alignment vertical="top" wrapText="1"/>
    </xf>
    <xf numFmtId="0" fontId="22" fillId="11" borderId="0" xfId="0" applyFont="1" applyFill="1" applyAlignment="1">
      <alignment horizontal="center"/>
    </xf>
    <xf numFmtId="0" fontId="0" fillId="0" borderId="0" xfId="0" applyAlignment="1">
      <alignment horizontal="center"/>
    </xf>
    <xf numFmtId="0" fontId="19" fillId="0" borderId="0" xfId="0" applyFont="1" applyAlignment="1">
      <alignment horizontal="center" vertical="center"/>
    </xf>
    <xf numFmtId="0" fontId="60" fillId="0" borderId="0" xfId="0" applyFont="1" applyAlignment="1">
      <alignment horizontal="center" vertical="center"/>
    </xf>
    <xf numFmtId="0" fontId="60" fillId="4" borderId="0" xfId="0" applyFont="1" applyFill="1" applyAlignment="1">
      <alignment horizontal="center" vertical="center"/>
    </xf>
    <xf numFmtId="0" fontId="0" fillId="0" borderId="0" xfId="0" applyAlignment="1">
      <alignment horizontal="center" vertical="center"/>
    </xf>
    <xf numFmtId="0" fontId="0" fillId="0" borderId="0" xfId="0" applyAlignment="1">
      <alignment vertical="top" wrapText="1"/>
    </xf>
    <xf numFmtId="0" fontId="0" fillId="0" borderId="11" xfId="0" applyBorder="1"/>
    <xf numFmtId="0" fontId="60" fillId="0" borderId="0" xfId="0" applyFont="1" applyAlignment="1">
      <alignment vertical="center"/>
    </xf>
    <xf numFmtId="0" fontId="10" fillId="0" borderId="0" xfId="3" applyFont="1"/>
    <xf numFmtId="0" fontId="61" fillId="4" borderId="1" xfId="3" applyFont="1" applyFill="1" applyBorder="1"/>
    <xf numFmtId="0" fontId="61" fillId="0" borderId="0" xfId="3" applyFont="1"/>
    <xf numFmtId="0" fontId="61" fillId="0" borderId="0" xfId="3" applyFont="1" applyAlignment="1">
      <alignment horizontal="left"/>
    </xf>
    <xf numFmtId="0" fontId="22" fillId="11" borderId="2" xfId="0" applyFont="1" applyFill="1" applyBorder="1" applyAlignment="1">
      <alignment horizontal="center"/>
    </xf>
    <xf numFmtId="0" fontId="4" fillId="15" borderId="1" xfId="3" applyFont="1" applyFill="1" applyBorder="1"/>
    <xf numFmtId="0" fontId="4" fillId="16" borderId="1" xfId="3" applyFont="1" applyFill="1" applyBorder="1"/>
    <xf numFmtId="0" fontId="64" fillId="12" borderId="1" xfId="3" applyFont="1" applyFill="1" applyBorder="1"/>
    <xf numFmtId="0" fontId="64" fillId="12" borderId="1" xfId="0" applyFont="1" applyFill="1" applyBorder="1"/>
    <xf numFmtId="0" fontId="5" fillId="0" borderId="0" xfId="3" applyFont="1" applyAlignment="1">
      <alignment vertical="top" wrapText="1"/>
    </xf>
    <xf numFmtId="0" fontId="29" fillId="0" borderId="0" xfId="7" applyFill="1" applyBorder="1" applyAlignment="1">
      <alignment vertical="center" wrapText="1"/>
    </xf>
    <xf numFmtId="0" fontId="53" fillId="0" borderId="0" xfId="0" applyFont="1"/>
    <xf numFmtId="0" fontId="41" fillId="5" borderId="1" xfId="0" applyFont="1" applyFill="1" applyBorder="1"/>
    <xf numFmtId="0" fontId="2" fillId="0" borderId="15" xfId="3" applyBorder="1"/>
    <xf numFmtId="0" fontId="29" fillId="0" borderId="1" xfId="7" applyBorder="1" applyAlignment="1">
      <alignment horizontal="center" vertical="center"/>
    </xf>
    <xf numFmtId="10" fontId="5" fillId="4" borderId="0" xfId="1" applyNumberFormat="1" applyFont="1" applyFill="1"/>
    <xf numFmtId="10" fontId="5" fillId="9" borderId="0" xfId="1" applyNumberFormat="1" applyFont="1" applyFill="1"/>
    <xf numFmtId="10" fontId="5" fillId="8" borderId="0" xfId="1" applyNumberFormat="1" applyFont="1" applyFill="1"/>
    <xf numFmtId="0" fontId="19" fillId="6" borderId="0" xfId="3" applyFont="1" applyFill="1" applyAlignment="1">
      <alignment vertical="top" wrapText="1"/>
    </xf>
    <xf numFmtId="0" fontId="14" fillId="4" borderId="0" xfId="3" applyFont="1" applyFill="1"/>
    <xf numFmtId="0" fontId="15" fillId="9" borderId="1" xfId="3" applyFont="1" applyFill="1" applyBorder="1" applyAlignment="1">
      <alignment vertical="top" wrapText="1"/>
    </xf>
    <xf numFmtId="0" fontId="4" fillId="6" borderId="0" xfId="3" applyFont="1" applyFill="1" applyAlignment="1">
      <alignment horizontal="center"/>
    </xf>
    <xf numFmtId="2" fontId="24" fillId="6" borderId="0" xfId="6" applyNumberFormat="1" applyFont="1" applyFill="1"/>
    <xf numFmtId="0" fontId="19" fillId="15" borderId="1" xfId="0" applyFont="1" applyFill="1" applyBorder="1"/>
    <xf numFmtId="0" fontId="19" fillId="16" borderId="1" xfId="0" applyFont="1" applyFill="1" applyBorder="1"/>
    <xf numFmtId="9" fontId="5" fillId="6" borderId="0" xfId="1" applyFont="1" applyFill="1"/>
    <xf numFmtId="0" fontId="65" fillId="12" borderId="1" xfId="3" applyFont="1" applyFill="1" applyBorder="1"/>
    <xf numFmtId="0" fontId="0" fillId="9" borderId="0" xfId="0" applyFill="1"/>
    <xf numFmtId="0" fontId="31" fillId="0" borderId="0" xfId="0" applyFont="1"/>
    <xf numFmtId="0" fontId="18" fillId="0" borderId="0" xfId="0" applyFont="1" applyAlignment="1">
      <alignment horizontal="center" vertical="center"/>
    </xf>
    <xf numFmtId="0" fontId="18" fillId="0" borderId="0" xfId="0" applyFont="1" applyAlignment="1">
      <alignment horizontal="center"/>
    </xf>
    <xf numFmtId="0" fontId="8" fillId="0" borderId="0" xfId="0" applyFont="1"/>
    <xf numFmtId="0" fontId="5" fillId="0" borderId="0" xfId="0" applyFont="1" applyAlignment="1">
      <alignment vertical="center"/>
    </xf>
    <xf numFmtId="9" fontId="5" fillId="0" borderId="0" xfId="0" applyNumberFormat="1" applyFont="1" applyAlignment="1">
      <alignment vertical="center"/>
    </xf>
    <xf numFmtId="0" fontId="30" fillId="0" borderId="0" xfId="0" applyFont="1"/>
    <xf numFmtId="2" fontId="5" fillId="0" borderId="0" xfId="0" applyNumberFormat="1" applyFont="1" applyAlignment="1">
      <alignment vertical="center"/>
    </xf>
    <xf numFmtId="0" fontId="4" fillId="3" borderId="0" xfId="3" applyFont="1" applyFill="1" applyAlignment="1">
      <alignment horizontal="center"/>
    </xf>
    <xf numFmtId="166" fontId="64" fillId="12" borderId="0" xfId="3" applyNumberFormat="1" applyFont="1" applyFill="1"/>
    <xf numFmtId="166" fontId="4" fillId="4" borderId="0" xfId="3" applyNumberFormat="1" applyFont="1" applyFill="1"/>
    <xf numFmtId="166" fontId="24" fillId="6" borderId="0" xfId="6" applyNumberFormat="1" applyFont="1" applyFill="1" applyAlignment="1">
      <alignment horizontal="center"/>
    </xf>
    <xf numFmtId="166" fontId="24" fillId="6" borderId="0" xfId="6" applyNumberFormat="1" applyFont="1" applyFill="1"/>
    <xf numFmtId="166" fontId="5" fillId="2" borderId="0" xfId="4" applyNumberFormat="1" applyFont="1" applyFill="1" applyBorder="1"/>
    <xf numFmtId="1" fontId="4" fillId="3" borderId="0" xfId="3" applyNumberFormat="1" applyFont="1" applyFill="1"/>
    <xf numFmtId="166" fontId="2" fillId="6" borderId="0" xfId="3" applyNumberFormat="1" applyFill="1"/>
    <xf numFmtId="166" fontId="5" fillId="2" borderId="0" xfId="2" applyNumberFormat="1" applyFont="1" applyBorder="1"/>
    <xf numFmtId="166" fontId="5" fillId="2" borderId="0" xfId="5" applyNumberFormat="1" applyFont="1" applyFill="1" applyBorder="1"/>
    <xf numFmtId="166" fontId="5" fillId="2" borderId="0" xfId="1" applyNumberFormat="1" applyFont="1" applyFill="1" applyBorder="1"/>
    <xf numFmtId="166" fontId="4" fillId="5" borderId="0" xfId="4" applyNumberFormat="1" applyFont="1" applyFill="1" applyBorder="1"/>
    <xf numFmtId="166" fontId="4" fillId="2" borderId="0" xfId="4" applyNumberFormat="1" applyFont="1" applyFill="1" applyBorder="1"/>
    <xf numFmtId="166" fontId="5" fillId="6" borderId="0" xfId="4" applyNumberFormat="1" applyFont="1" applyFill="1" applyBorder="1"/>
    <xf numFmtId="166" fontId="15" fillId="6" borderId="0" xfId="4" applyNumberFormat="1" applyFont="1" applyFill="1" applyBorder="1"/>
    <xf numFmtId="166" fontId="5" fillId="6" borderId="0" xfId="2" applyNumberFormat="1" applyFont="1" applyFill="1" applyBorder="1"/>
    <xf numFmtId="166" fontId="4" fillId="6" borderId="0" xfId="2" applyNumberFormat="1" applyFont="1" applyFill="1" applyBorder="1"/>
    <xf numFmtId="166" fontId="5" fillId="6" borderId="0" xfId="3" applyNumberFormat="1" applyFont="1" applyFill="1"/>
    <xf numFmtId="4" fontId="5" fillId="2" borderId="0" xfId="2" applyNumberFormat="1" applyFont="1" applyBorder="1"/>
    <xf numFmtId="9" fontId="5" fillId="6" borderId="0" xfId="1" applyFont="1" applyFill="1" applyAlignment="1">
      <alignment horizontal="right"/>
    </xf>
    <xf numFmtId="0" fontId="19" fillId="0" borderId="0" xfId="3" applyFont="1"/>
    <xf numFmtId="0" fontId="4" fillId="5" borderId="0" xfId="3" applyFont="1" applyFill="1" applyAlignment="1">
      <alignment horizontal="center" vertical="center"/>
    </xf>
    <xf numFmtId="0" fontId="63" fillId="12" borderId="0" xfId="3" applyFont="1" applyFill="1" applyAlignment="1">
      <alignment horizontal="center" vertical="center"/>
    </xf>
    <xf numFmtId="0" fontId="70" fillId="4" borderId="0" xfId="3" applyFont="1" applyFill="1" applyAlignment="1">
      <alignment horizontal="center" vertical="center"/>
    </xf>
    <xf numFmtId="0" fontId="64" fillId="0" borderId="0" xfId="3" applyFont="1" applyAlignment="1">
      <alignment horizontal="center" vertical="center"/>
    </xf>
    <xf numFmtId="0" fontId="1" fillId="0" borderId="0" xfId="3" applyFont="1"/>
    <xf numFmtId="0" fontId="32" fillId="5" borderId="1" xfId="3" applyFont="1" applyFill="1" applyBorder="1" applyAlignment="1">
      <alignment horizontal="center" vertical="center"/>
    </xf>
    <xf numFmtId="0" fontId="63" fillId="12" borderId="1" xfId="3" applyFont="1" applyFill="1" applyBorder="1" applyAlignment="1">
      <alignment horizontal="center" vertical="center"/>
    </xf>
    <xf numFmtId="0" fontId="19" fillId="0" borderId="0" xfId="3" applyFont="1" applyAlignment="1">
      <alignment horizontal="center" vertical="center"/>
    </xf>
    <xf numFmtId="0" fontId="67" fillId="4" borderId="0" xfId="3" applyFont="1" applyFill="1" applyAlignment="1">
      <alignment horizontal="center" vertical="center"/>
    </xf>
    <xf numFmtId="0" fontId="2" fillId="0" borderId="0" xfId="3" applyAlignment="1">
      <alignment horizontal="center" vertical="center"/>
    </xf>
    <xf numFmtId="0" fontId="32" fillId="0" borderId="0" xfId="3" applyFont="1" applyAlignment="1">
      <alignment horizontal="center" vertical="center"/>
    </xf>
    <xf numFmtId="0" fontId="63" fillId="0" borderId="0" xfId="3" applyFont="1" applyAlignment="1">
      <alignment horizontal="center" vertical="center"/>
    </xf>
    <xf numFmtId="0" fontId="2" fillId="3" borderId="0" xfId="3" applyFill="1" applyAlignment="1">
      <alignment horizontal="left"/>
    </xf>
    <xf numFmtId="0" fontId="15" fillId="0" borderId="0" xfId="0" applyFont="1" applyAlignment="1">
      <alignment horizontal="left" vertical="top" wrapText="1"/>
    </xf>
    <xf numFmtId="0" fontId="15" fillId="0" borderId="0" xfId="0" applyFont="1" applyAlignment="1">
      <alignment horizontal="left" vertical="top"/>
    </xf>
    <xf numFmtId="0" fontId="18" fillId="0" borderId="0" xfId="0" applyFont="1" applyAlignment="1">
      <alignment horizontal="left" vertical="top"/>
    </xf>
    <xf numFmtId="0" fontId="71" fillId="5" borderId="1" xfId="3" applyFont="1" applyFill="1" applyBorder="1" applyAlignment="1">
      <alignment horizontal="center" vertical="center"/>
    </xf>
    <xf numFmtId="167" fontId="32" fillId="0" borderId="0" xfId="3" applyNumberFormat="1" applyFont="1" applyAlignment="1">
      <alignment horizontal="center" vertical="center"/>
    </xf>
    <xf numFmtId="0" fontId="66" fillId="0" borderId="0" xfId="3" applyFont="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3" fontId="69" fillId="0" borderId="0" xfId="0" applyNumberFormat="1" applyFont="1" applyAlignment="1">
      <alignment horizontal="center" vertical="center"/>
    </xf>
    <xf numFmtId="0" fontId="5" fillId="18" borderId="0" xfId="3" applyFont="1" applyFill="1" applyAlignment="1">
      <alignment horizontal="center" vertical="center"/>
    </xf>
    <xf numFmtId="0" fontId="2" fillId="18" borderId="0" xfId="3" applyFill="1" applyAlignment="1">
      <alignment horizontal="center" vertical="center"/>
    </xf>
    <xf numFmtId="0" fontId="2" fillId="5" borderId="1" xfId="3" applyFill="1" applyBorder="1" applyAlignment="1">
      <alignment horizontal="center" vertical="center"/>
    </xf>
    <xf numFmtId="0" fontId="2" fillId="0" borderId="1" xfId="3" applyBorder="1" applyAlignment="1">
      <alignment horizontal="center" vertical="center"/>
    </xf>
    <xf numFmtId="9" fontId="5" fillId="6" borderId="0" xfId="3" applyNumberFormat="1" applyFont="1" applyFill="1" applyAlignment="1">
      <alignment horizontal="right"/>
    </xf>
    <xf numFmtId="0" fontId="2" fillId="0" borderId="1" xfId="3" applyBorder="1" applyAlignment="1">
      <alignment horizontal="left"/>
    </xf>
    <xf numFmtId="0" fontId="17" fillId="0" borderId="6" xfId="3" applyFont="1" applyBorder="1" applyAlignment="1">
      <alignment vertical="top"/>
    </xf>
    <xf numFmtId="0" fontId="6" fillId="5" borderId="1" xfId="0" applyFont="1" applyFill="1" applyBorder="1" applyAlignment="1">
      <alignment horizontal="center"/>
    </xf>
    <xf numFmtId="0" fontId="5" fillId="5" borderId="0" xfId="0" applyFont="1" applyFill="1" applyAlignment="1">
      <alignment horizontal="center"/>
    </xf>
    <xf numFmtId="0" fontId="38" fillId="0" borderId="2" xfId="0" applyFont="1" applyBorder="1" applyAlignment="1">
      <alignment horizontal="left" vertical="top" wrapText="1"/>
    </xf>
    <xf numFmtId="0" fontId="38" fillId="0" borderId="0" xfId="0" applyFont="1" applyAlignment="1">
      <alignment horizontal="left" vertical="top" wrapText="1"/>
    </xf>
    <xf numFmtId="0" fontId="37" fillId="5" borderId="0" xfId="0" applyFont="1" applyFill="1" applyAlignment="1">
      <alignment horizontal="left"/>
    </xf>
    <xf numFmtId="0" fontId="38" fillId="17" borderId="0" xfId="0" applyFont="1" applyFill="1" applyAlignment="1">
      <alignment horizontal="left" vertical="top" wrapText="1" indent="1"/>
    </xf>
    <xf numFmtId="0" fontId="38" fillId="0" borderId="2" xfId="0" applyFont="1" applyBorder="1" applyAlignment="1">
      <alignment horizontal="left" vertical="top" wrapText="1" indent="1"/>
    </xf>
    <xf numFmtId="0" fontId="38" fillId="0" borderId="0" xfId="0" applyFont="1" applyAlignment="1">
      <alignment horizontal="left" vertical="top" wrapText="1" indent="1"/>
    </xf>
    <xf numFmtId="0" fontId="0" fillId="5" borderId="0" xfId="0" applyFill="1" applyAlignment="1">
      <alignment horizontal="center"/>
    </xf>
    <xf numFmtId="0" fontId="5" fillId="0" borderId="0" xfId="0" applyFont="1" applyAlignment="1">
      <alignment horizontal="right"/>
    </xf>
    <xf numFmtId="0" fontId="47" fillId="0" borderId="0" xfId="3" applyFont="1" applyAlignment="1">
      <alignment horizontal="center" vertical="center" wrapText="1" readingOrder="1"/>
    </xf>
    <xf numFmtId="0" fontId="19" fillId="0" borderId="0" xfId="3" applyFont="1" applyAlignment="1">
      <alignment horizontal="left" vertical="top" wrapText="1"/>
    </xf>
    <xf numFmtId="0" fontId="19" fillId="0" borderId="10" xfId="3" applyFont="1" applyBorder="1" applyAlignment="1">
      <alignment horizontal="left" vertical="top" wrapText="1"/>
    </xf>
    <xf numFmtId="0" fontId="54" fillId="5" borderId="1" xfId="3" applyFont="1" applyFill="1" applyBorder="1" applyAlignment="1">
      <alignment horizontal="center" vertical="center" wrapText="1"/>
    </xf>
    <xf numFmtId="0" fontId="2" fillId="0" borderId="0" xfId="3" applyAlignment="1">
      <alignment horizontal="left"/>
    </xf>
    <xf numFmtId="0" fontId="5" fillId="5" borderId="0" xfId="3" applyFont="1" applyFill="1" applyAlignment="1">
      <alignment horizontal="left" vertical="center"/>
    </xf>
    <xf numFmtId="0" fontId="5" fillId="4" borderId="0" xfId="3" applyFont="1" applyFill="1" applyAlignment="1">
      <alignment horizontal="left" vertical="center"/>
    </xf>
    <xf numFmtId="0" fontId="5" fillId="4" borderId="2" xfId="3" applyFont="1" applyFill="1" applyBorder="1" applyAlignment="1">
      <alignment horizontal="left" vertical="center"/>
    </xf>
    <xf numFmtId="0" fontId="5" fillId="9" borderId="0" xfId="3" applyFont="1" applyFill="1" applyAlignment="1">
      <alignment horizontal="left" vertical="center"/>
    </xf>
    <xf numFmtId="10" fontId="47" fillId="0" borderId="0" xfId="3" applyNumberFormat="1" applyFont="1" applyAlignment="1">
      <alignment horizontal="center" vertical="center" wrapText="1" readingOrder="1"/>
    </xf>
    <xf numFmtId="0" fontId="53" fillId="5" borderId="1" xfId="3" applyFont="1" applyFill="1" applyBorder="1" applyAlignment="1">
      <alignment horizontal="left" vertical="center" wrapText="1"/>
    </xf>
    <xf numFmtId="0" fontId="43" fillId="0" borderId="0" xfId="3" applyFont="1" applyAlignment="1">
      <alignment horizontal="left" vertical="center" wrapText="1"/>
    </xf>
    <xf numFmtId="0" fontId="4" fillId="0" borderId="1" xfId="3" applyFont="1" applyBorder="1" applyAlignment="1">
      <alignment horizontal="center" vertical="top"/>
    </xf>
    <xf numFmtId="0" fontId="48" fillId="0" borderId="0" xfId="3" applyFont="1" applyAlignment="1">
      <alignment horizontal="center" vertical="center" wrapText="1"/>
    </xf>
    <xf numFmtId="0" fontId="19" fillId="4" borderId="0" xfId="3" applyFont="1" applyFill="1" applyAlignment="1">
      <alignment horizontal="left" vertical="top" wrapText="1"/>
    </xf>
    <xf numFmtId="0" fontId="26" fillId="5" borderId="1" xfId="3" applyFont="1" applyFill="1" applyBorder="1" applyAlignment="1">
      <alignment horizontal="center" vertical="center"/>
    </xf>
    <xf numFmtId="0" fontId="40" fillId="5" borderId="2" xfId="3" applyFont="1" applyFill="1" applyBorder="1" applyAlignment="1">
      <alignment horizontal="center" vertical="center"/>
    </xf>
    <xf numFmtId="0" fontId="54" fillId="5" borderId="1" xfId="3" applyFont="1" applyFill="1" applyBorder="1" applyAlignment="1">
      <alignment horizontal="left" vertical="center" wrapText="1"/>
    </xf>
    <xf numFmtId="0" fontId="11" fillId="0" borderId="2" xfId="3" applyFont="1" applyBorder="1" applyAlignment="1">
      <alignment horizontal="left" vertical="top" wrapText="1"/>
    </xf>
    <xf numFmtId="0" fontId="22" fillId="0" borderId="2" xfId="3" applyFont="1" applyBorder="1" applyAlignment="1">
      <alignment horizontal="left" vertical="top" wrapText="1"/>
    </xf>
    <xf numFmtId="0" fontId="22" fillId="0" borderId="0" xfId="3" applyFont="1" applyAlignment="1">
      <alignment horizontal="left" vertical="top" wrapText="1"/>
    </xf>
    <xf numFmtId="0" fontId="2" fillId="3" borderId="0" xfId="3" applyFill="1" applyAlignment="1">
      <alignment horizontal="left"/>
    </xf>
    <xf numFmtId="0" fontId="19" fillId="0" borderId="0" xfId="0" applyFont="1" applyAlignment="1">
      <alignment horizontal="left" vertical="top" wrapText="1"/>
    </xf>
    <xf numFmtId="0" fontId="5" fillId="0" borderId="13" xfId="3" applyFont="1" applyBorder="1" applyAlignment="1">
      <alignment horizontal="center"/>
    </xf>
    <xf numFmtId="0" fontId="53" fillId="5" borderId="1" xfId="3" applyFont="1" applyFill="1" applyBorder="1" applyAlignment="1">
      <alignment horizontal="left"/>
    </xf>
    <xf numFmtId="0" fontId="4" fillId="0" borderId="1" xfId="3" applyFont="1" applyBorder="1" applyAlignment="1">
      <alignment horizontal="center"/>
    </xf>
    <xf numFmtId="0" fontId="5" fillId="0" borderId="1" xfId="3" applyFont="1" applyBorder="1" applyAlignment="1">
      <alignment horizontal="center"/>
    </xf>
    <xf numFmtId="0" fontId="14" fillId="0" borderId="0" xfId="3" applyFont="1" applyAlignment="1">
      <alignment horizontal="left" vertical="top" wrapText="1"/>
    </xf>
    <xf numFmtId="0" fontId="14" fillId="0" borderId="10" xfId="3" applyFont="1" applyBorder="1" applyAlignment="1">
      <alignment horizontal="left" vertical="top" wrapText="1"/>
    </xf>
    <xf numFmtId="0" fontId="32" fillId="5" borderId="0" xfId="0" applyFont="1" applyFill="1" applyAlignment="1">
      <alignment horizontal="center"/>
    </xf>
    <xf numFmtId="0" fontId="19" fillId="4" borderId="0" xfId="0" applyFont="1" applyFill="1" applyAlignment="1">
      <alignment horizontal="center" vertical="center"/>
    </xf>
    <xf numFmtId="0" fontId="59" fillId="27" borderId="0" xfId="7" applyFont="1" applyFill="1" applyAlignment="1">
      <alignment horizontal="center" vertical="center" wrapText="1"/>
    </xf>
    <xf numFmtId="0" fontId="53" fillId="4" borderId="0" xfId="0" applyFont="1" applyFill="1" applyAlignment="1">
      <alignment horizontal="left"/>
    </xf>
    <xf numFmtId="0" fontId="60" fillId="4" borderId="0" xfId="0" applyFont="1" applyFill="1" applyAlignment="1">
      <alignment horizontal="center"/>
    </xf>
    <xf numFmtId="0" fontId="41" fillId="5" borderId="1" xfId="3" applyFont="1" applyFill="1" applyBorder="1" applyAlignment="1">
      <alignment horizontal="center" vertical="center"/>
    </xf>
    <xf numFmtId="0" fontId="19" fillId="0" borderId="0" xfId="0" applyFont="1" applyAlignment="1">
      <alignment horizontal="left" vertical="top"/>
    </xf>
    <xf numFmtId="0" fontId="19" fillId="4" borderId="0" xfId="0" applyFont="1" applyFill="1" applyAlignment="1">
      <alignment horizontal="center" vertical="top" wrapText="1"/>
    </xf>
    <xf numFmtId="0" fontId="58" fillId="5" borderId="1" xfId="0" applyFont="1" applyFill="1" applyBorder="1" applyAlignment="1">
      <alignment horizontal="center" vertical="center"/>
    </xf>
    <xf numFmtId="0" fontId="0" fillId="4" borderId="0" xfId="0" applyFill="1" applyAlignment="1">
      <alignment horizontal="center"/>
    </xf>
    <xf numFmtId="0" fontId="0" fillId="0" borderId="0" xfId="0" applyAlignment="1">
      <alignment horizontal="center"/>
    </xf>
    <xf numFmtId="0" fontId="19" fillId="0" borderId="1" xfId="0" applyFont="1" applyBorder="1" applyAlignment="1">
      <alignment horizontal="left" vertical="top" wrapText="1"/>
    </xf>
    <xf numFmtId="0" fontId="63" fillId="12" borderId="1" xfId="3" applyFont="1" applyFill="1" applyBorder="1" applyAlignment="1">
      <alignment horizontal="left"/>
    </xf>
    <xf numFmtId="0" fontId="62" fillId="12" borderId="1" xfId="3" applyFont="1" applyFill="1" applyBorder="1" applyAlignment="1">
      <alignment horizontal="left"/>
    </xf>
    <xf numFmtId="0" fontId="43" fillId="28" borderId="1" xfId="0" applyFont="1" applyFill="1" applyBorder="1" applyAlignment="1">
      <alignment horizontal="left" vertical="top"/>
    </xf>
    <xf numFmtId="0" fontId="0" fillId="0" borderId="0" xfId="0" applyAlignment="1">
      <alignment horizontal="left" vertical="top" wrapText="1"/>
    </xf>
    <xf numFmtId="0" fontId="57" fillId="26" borderId="1" xfId="0" applyFont="1" applyFill="1" applyBorder="1" applyAlignment="1">
      <alignment horizontal="left" vertical="top"/>
    </xf>
    <xf numFmtId="0" fontId="67" fillId="4" borderId="1" xfId="3" applyFont="1" applyFill="1" applyBorder="1" applyAlignment="1">
      <alignment horizontal="center" vertical="center"/>
    </xf>
    <xf numFmtId="2" fontId="67" fillId="4" borderId="0" xfId="3" applyNumberFormat="1" applyFont="1" applyFill="1" applyAlignment="1">
      <alignment horizontal="center" vertical="center"/>
    </xf>
    <xf numFmtId="0" fontId="72" fillId="9" borderId="1" xfId="3" applyFont="1" applyFill="1" applyBorder="1" applyAlignment="1">
      <alignment horizontal="center" vertical="center"/>
    </xf>
    <xf numFmtId="0" fontId="2" fillId="0" borderId="0" xfId="3" applyAlignment="1">
      <alignment horizontal="center" vertical="center"/>
    </xf>
    <xf numFmtId="166" fontId="72" fillId="9" borderId="0" xfId="3" applyNumberFormat="1" applyFont="1" applyFill="1" applyAlignment="1">
      <alignment horizontal="center" vertical="center"/>
    </xf>
    <xf numFmtId="0" fontId="72" fillId="9" borderId="0" xfId="3" applyFont="1" applyFill="1" applyAlignment="1">
      <alignment horizontal="center" vertical="center"/>
    </xf>
    <xf numFmtId="0" fontId="10" fillId="5" borderId="1" xfId="3" applyFont="1" applyFill="1" applyBorder="1" applyAlignment="1">
      <alignment horizontal="center" vertical="center"/>
    </xf>
    <xf numFmtId="0" fontId="32" fillId="5" borderId="1" xfId="3" applyFont="1" applyFill="1" applyBorder="1" applyAlignment="1">
      <alignment horizontal="center" vertical="center"/>
    </xf>
    <xf numFmtId="0" fontId="63" fillId="12" borderId="1" xfId="3" applyFont="1" applyFill="1" applyBorder="1" applyAlignment="1">
      <alignment horizontal="center" vertical="center"/>
    </xf>
    <xf numFmtId="0" fontId="67" fillId="4" borderId="1" xfId="0" applyFont="1" applyFill="1" applyBorder="1" applyAlignment="1">
      <alignment horizontal="center" vertical="center"/>
    </xf>
    <xf numFmtId="3" fontId="32" fillId="8" borderId="0" xfId="0" applyNumberFormat="1" applyFont="1" applyFill="1" applyAlignment="1">
      <alignment horizontal="center" vertical="center"/>
    </xf>
    <xf numFmtId="0" fontId="63" fillId="12" borderId="0" xfId="3" applyFont="1" applyFill="1" applyAlignment="1">
      <alignment horizontal="center" vertical="center"/>
    </xf>
    <xf numFmtId="166" fontId="67" fillId="4" borderId="0" xfId="0" applyNumberFormat="1" applyFont="1" applyFill="1" applyAlignment="1">
      <alignment horizontal="center" vertical="center"/>
    </xf>
    <xf numFmtId="166" fontId="67" fillId="4" borderId="0" xfId="3" applyNumberFormat="1" applyFont="1" applyFill="1" applyAlignment="1">
      <alignment horizontal="center" vertical="center"/>
    </xf>
    <xf numFmtId="168" fontId="32" fillId="8" borderId="0" xfId="0" applyNumberFormat="1" applyFont="1" applyFill="1" applyAlignment="1">
      <alignment horizontal="center" vertical="center"/>
    </xf>
    <xf numFmtId="167" fontId="63" fillId="12" borderId="0" xfId="3" applyNumberFormat="1" applyFont="1" applyFill="1" applyAlignment="1">
      <alignment horizontal="center" vertical="center"/>
    </xf>
    <xf numFmtId="0" fontId="18" fillId="4" borderId="0" xfId="0" applyFont="1" applyFill="1" applyAlignment="1">
      <alignment horizontal="left" vertical="top" wrapText="1"/>
    </xf>
    <xf numFmtId="0" fontId="23" fillId="12" borderId="0" xfId="0" applyFont="1" applyFill="1" applyAlignment="1">
      <alignment horizontal="center"/>
    </xf>
    <xf numFmtId="0" fontId="23" fillId="13" borderId="0" xfId="0" applyFont="1" applyFill="1" applyAlignment="1">
      <alignment horizontal="center"/>
    </xf>
    <xf numFmtId="0" fontId="23" fillId="14" borderId="0" xfId="0" applyFont="1" applyFill="1" applyAlignment="1">
      <alignment horizontal="center"/>
    </xf>
    <xf numFmtId="0" fontId="5" fillId="0" borderId="2" xfId="3" applyFont="1" applyBorder="1" applyAlignment="1">
      <alignment horizontal="left" vertical="top" wrapText="1"/>
    </xf>
    <xf numFmtId="0" fontId="5" fillId="0" borderId="0" xfId="3" applyFont="1" applyAlignment="1">
      <alignment horizontal="left" vertical="top" wrapText="1"/>
    </xf>
    <xf numFmtId="0" fontId="4" fillId="4" borderId="1" xfId="3" applyFont="1" applyFill="1" applyBorder="1" applyAlignment="1">
      <alignment horizontal="left"/>
    </xf>
    <xf numFmtId="0" fontId="26" fillId="5" borderId="1" xfId="3" applyFont="1" applyFill="1" applyBorder="1" applyAlignment="1">
      <alignment horizontal="center"/>
    </xf>
    <xf numFmtId="0" fontId="18" fillId="0" borderId="2" xfId="0" applyFont="1" applyBorder="1" applyAlignment="1">
      <alignment horizontal="left" vertical="top" wrapText="1"/>
    </xf>
    <xf numFmtId="0" fontId="18" fillId="0" borderId="7" xfId="0" applyFont="1" applyBorder="1" applyAlignment="1">
      <alignment horizontal="left" vertical="top" wrapText="1"/>
    </xf>
    <xf numFmtId="0" fontId="18" fillId="0" borderId="0" xfId="0" applyFont="1" applyAlignment="1">
      <alignment horizontal="left" vertical="top" wrapText="1"/>
    </xf>
    <xf numFmtId="0" fontId="18" fillId="0" borderId="3" xfId="0" applyFont="1" applyBorder="1" applyAlignment="1">
      <alignment horizontal="left" vertical="top" wrapText="1"/>
    </xf>
    <xf numFmtId="0" fontId="41" fillId="5" borderId="1" xfId="0" applyFont="1" applyFill="1" applyBorder="1" applyAlignment="1">
      <alignment horizontal="left"/>
    </xf>
    <xf numFmtId="0" fontId="41" fillId="5" borderId="9" xfId="0" applyFont="1" applyFill="1" applyBorder="1" applyAlignment="1">
      <alignment horizontal="left"/>
    </xf>
    <xf numFmtId="0" fontId="27" fillId="5" borderId="0" xfId="3" applyFont="1" applyFill="1" applyAlignment="1">
      <alignment horizontal="center" vertical="center"/>
    </xf>
    <xf numFmtId="0" fontId="6" fillId="0" borderId="0" xfId="0" applyFont="1" applyAlignment="1">
      <alignment horizontal="center"/>
    </xf>
    <xf numFmtId="0" fontId="41" fillId="6" borderId="1" xfId="0" applyFont="1" applyFill="1" applyBorder="1" applyAlignment="1">
      <alignment horizontal="center" vertical="center"/>
    </xf>
    <xf numFmtId="0" fontId="18" fillId="6" borderId="0" xfId="0" applyFont="1" applyFill="1" applyAlignment="1">
      <alignment horizontal="left" vertical="top" wrapText="1"/>
    </xf>
    <xf numFmtId="0" fontId="18" fillId="6" borderId="3" xfId="0" applyFont="1" applyFill="1" applyBorder="1" applyAlignment="1">
      <alignment horizontal="left" vertical="top" wrapText="1"/>
    </xf>
    <xf numFmtId="0" fontId="15" fillId="0" borderId="0" xfId="0" applyFont="1" applyAlignment="1">
      <alignment horizontal="left" vertical="top" wrapText="1"/>
    </xf>
    <xf numFmtId="0" fontId="15" fillId="0" borderId="0" xfId="0" applyFont="1" applyAlignment="1">
      <alignment horizontal="left" vertical="top"/>
    </xf>
    <xf numFmtId="0" fontId="6" fillId="6" borderId="1" xfId="0" applyFont="1" applyFill="1" applyBorder="1" applyAlignment="1">
      <alignment horizontal="center"/>
    </xf>
    <xf numFmtId="0" fontId="18" fillId="4" borderId="4" xfId="0" applyFont="1" applyFill="1" applyBorder="1" applyAlignment="1">
      <alignment horizontal="left" vertical="top" wrapText="1"/>
    </xf>
    <xf numFmtId="0" fontId="18" fillId="4" borderId="10" xfId="0" applyFont="1" applyFill="1" applyBorder="1" applyAlignment="1">
      <alignment horizontal="left" vertical="top" wrapText="1"/>
    </xf>
    <xf numFmtId="0" fontId="18" fillId="4" borderId="5" xfId="0" applyFont="1" applyFill="1" applyBorder="1" applyAlignment="1">
      <alignment horizontal="left" vertical="top" wrapText="1"/>
    </xf>
    <xf numFmtId="0" fontId="18" fillId="4" borderId="1" xfId="0" applyFont="1" applyFill="1" applyBorder="1" applyAlignment="1">
      <alignment horizontal="left" vertical="top" wrapText="1"/>
    </xf>
    <xf numFmtId="0" fontId="18" fillId="4" borderId="11" xfId="0" applyFont="1" applyFill="1" applyBorder="1" applyAlignment="1">
      <alignment horizontal="left" vertical="top" wrapText="1"/>
    </xf>
    <xf numFmtId="0" fontId="30" fillId="6" borderId="1" xfId="0" applyFont="1" applyFill="1" applyBorder="1" applyAlignment="1">
      <alignment horizontal="center"/>
    </xf>
    <xf numFmtId="0" fontId="15" fillId="0" borderId="2" xfId="0" applyFont="1" applyBorder="1" applyAlignment="1">
      <alignment horizontal="left" vertical="top" wrapText="1"/>
    </xf>
    <xf numFmtId="0" fontId="15" fillId="0" borderId="2" xfId="0" applyFont="1" applyBorder="1" applyAlignment="1">
      <alignment horizontal="left" vertical="top"/>
    </xf>
    <xf numFmtId="0" fontId="15" fillId="0" borderId="7" xfId="0" applyFont="1" applyBorder="1" applyAlignment="1">
      <alignment horizontal="left" vertical="top"/>
    </xf>
    <xf numFmtId="0" fontId="15" fillId="0" borderId="3" xfId="0" applyFont="1" applyBorder="1" applyAlignment="1">
      <alignment horizontal="left" vertical="top"/>
    </xf>
    <xf numFmtId="0" fontId="18" fillId="0" borderId="0" xfId="0" applyFont="1" applyAlignment="1">
      <alignment horizontal="left" vertical="top"/>
    </xf>
    <xf numFmtId="0" fontId="18" fillId="0" borderId="3" xfId="0" applyFont="1" applyBorder="1" applyAlignment="1">
      <alignment horizontal="left" vertical="top"/>
    </xf>
    <xf numFmtId="0" fontId="15" fillId="6" borderId="0" xfId="0" applyFont="1" applyFill="1" applyAlignment="1">
      <alignment horizontal="left" vertical="top" wrapText="1"/>
    </xf>
    <xf numFmtId="0" fontId="18" fillId="6" borderId="1" xfId="0" applyFont="1" applyFill="1" applyBorder="1" applyAlignment="1">
      <alignment horizontal="left" vertical="top" wrapText="1"/>
    </xf>
    <xf numFmtId="0" fontId="18" fillId="6" borderId="9" xfId="0" applyFont="1" applyFill="1" applyBorder="1" applyAlignment="1">
      <alignment horizontal="left" vertical="top" wrapText="1"/>
    </xf>
    <xf numFmtId="0" fontId="2" fillId="29" borderId="1" xfId="3" applyFill="1" applyBorder="1" applyAlignment="1">
      <alignment horizontal="center"/>
    </xf>
    <xf numFmtId="0" fontId="4" fillId="9" borderId="1" xfId="3" applyFont="1" applyFill="1" applyBorder="1" applyAlignment="1">
      <alignment horizontal="left"/>
    </xf>
    <xf numFmtId="0" fontId="18" fillId="4" borderId="4" xfId="0" applyFont="1" applyFill="1" applyBorder="1" applyAlignment="1">
      <alignment horizontal="center" vertical="top" wrapText="1"/>
    </xf>
    <xf numFmtId="0" fontId="18" fillId="4" borderId="0" xfId="0" applyFont="1" applyFill="1" applyAlignment="1">
      <alignment horizontal="center" vertical="top" wrapText="1"/>
    </xf>
    <xf numFmtId="0" fontId="18" fillId="4" borderId="10" xfId="0" applyFont="1" applyFill="1" applyBorder="1" applyAlignment="1">
      <alignment horizontal="center" vertical="top" wrapText="1"/>
    </xf>
    <xf numFmtId="0" fontId="18" fillId="4" borderId="5" xfId="0" applyFont="1" applyFill="1" applyBorder="1" applyAlignment="1">
      <alignment horizontal="center" vertical="top" wrapText="1"/>
    </xf>
    <xf numFmtId="0" fontId="18" fillId="4" borderId="1" xfId="0" applyFont="1" applyFill="1" applyBorder="1" applyAlignment="1">
      <alignment horizontal="center" vertical="top" wrapText="1"/>
    </xf>
    <xf numFmtId="0" fontId="18" fillId="4" borderId="11" xfId="0" applyFont="1" applyFill="1" applyBorder="1" applyAlignment="1">
      <alignment horizontal="center" vertical="top" wrapText="1"/>
    </xf>
    <xf numFmtId="0" fontId="4" fillId="10" borderId="1" xfId="3" applyFont="1" applyFill="1" applyBorder="1" applyAlignment="1">
      <alignment horizontal="left"/>
    </xf>
    <xf numFmtId="0" fontId="5" fillId="0" borderId="2" xfId="3" applyFont="1" applyBorder="1" applyAlignment="1">
      <alignment horizontal="left" vertical="top"/>
    </xf>
    <xf numFmtId="0" fontId="5" fillId="0" borderId="0" xfId="3" applyFont="1" applyAlignment="1">
      <alignment horizontal="left" vertical="top"/>
    </xf>
    <xf numFmtId="0" fontId="4" fillId="6" borderId="1" xfId="3" applyFont="1" applyFill="1" applyBorder="1" applyAlignment="1">
      <alignment horizontal="left"/>
    </xf>
    <xf numFmtId="0" fontId="64" fillId="12" borderId="1" xfId="3" applyFont="1" applyFill="1" applyBorder="1" applyAlignment="1">
      <alignment horizontal="left"/>
    </xf>
    <xf numFmtId="0" fontId="61" fillId="4" borderId="1" xfId="3" applyFont="1" applyFill="1" applyBorder="1" applyAlignment="1">
      <alignment horizontal="left"/>
    </xf>
    <xf numFmtId="0" fontId="15" fillId="0" borderId="12" xfId="0" applyFont="1" applyBorder="1" applyAlignment="1">
      <alignment horizontal="left" vertical="top" wrapText="1"/>
    </xf>
    <xf numFmtId="0" fontId="15" fillId="0" borderId="6" xfId="0" applyFont="1" applyBorder="1" applyAlignment="1">
      <alignment horizontal="left" vertical="top" wrapText="1"/>
    </xf>
    <xf numFmtId="0" fontId="60" fillId="9" borderId="0" xfId="0" applyFont="1" applyFill="1" applyAlignment="1">
      <alignment horizontal="left"/>
    </xf>
  </cellXfs>
  <cellStyles count="10">
    <cellStyle name="20% - Colore 3" xfId="2" builtinId="38"/>
    <cellStyle name="Collegamento ipertestuale" xfId="7" builtinId="8"/>
    <cellStyle name="Collegamento ipertestuale 2" xfId="8" xr:uid="{562A98ED-7227-3C41-8629-091471046307}"/>
    <cellStyle name="Migliaia" xfId="6" builtinId="3"/>
    <cellStyle name="Normale" xfId="0" builtinId="0"/>
    <cellStyle name="Normale 2" xfId="3" xr:uid="{9B532CA0-9358-9C4E-A338-8291B354C13F}"/>
    <cellStyle name="Percentuale" xfId="1" builtinId="5"/>
    <cellStyle name="Percentuale 2" xfId="5" xr:uid="{8C8E14B9-A63D-3D41-8F78-7118F6A5DA62}"/>
    <cellStyle name="Percentuale 2 2" xfId="9" xr:uid="{5B626686-4C21-B045-8F64-95C90EF02535}"/>
    <cellStyle name="Valuta 2" xfId="4" xr:uid="{3E85329C-E006-4942-9445-30C1C3B5444D}"/>
  </cellStyles>
  <dxfs count="2">
    <dxf>
      <font>
        <b val="0"/>
        <i val="0"/>
        <color theme="0"/>
      </font>
      <fill>
        <patternFill>
          <bgColor rgb="FFC00000"/>
        </patternFill>
      </fill>
    </dxf>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83663489192221E-2"/>
          <c:y val="2.0791223413509773E-2"/>
          <c:w val="0.95060711354220417"/>
          <c:h val="0.66801043582127084"/>
        </c:manualLayout>
      </c:layout>
      <c:lineChart>
        <c:grouping val="standard"/>
        <c:varyColors val="0"/>
        <c:ser>
          <c:idx val="0"/>
          <c:order val="0"/>
          <c:tx>
            <c:strRef>
              <c:f>'Performance di Mercato'!$A$57</c:f>
              <c:strCache>
                <c:ptCount val="1"/>
                <c:pt idx="0">
                  <c:v>FinecoBank</c:v>
                </c:pt>
              </c:strCache>
            </c:strRef>
          </c:tx>
          <c:spPr>
            <a:ln w="28575" cap="rnd">
              <a:solidFill>
                <a:schemeClr val="accent1">
                  <a:alpha val="50000"/>
                </a:schemeClr>
              </a:solidFill>
              <a:prstDash val="dash"/>
              <a:round/>
            </a:ln>
            <a:effectLst/>
          </c:spPr>
          <c:marker>
            <c:symbol val="circle"/>
            <c:size val="5"/>
            <c:spPr>
              <a:solidFill>
                <a:schemeClr val="accent1"/>
              </a:solidFill>
              <a:ln w="9525">
                <a:solidFill>
                  <a:schemeClr val="accent1">
                    <a:alpha val="50000"/>
                  </a:schemeClr>
                </a:solidFill>
              </a:ln>
              <a:effectLst/>
            </c:spPr>
          </c:marker>
          <c:dPt>
            <c:idx val="1"/>
            <c:marker>
              <c:symbol val="circle"/>
              <c:size val="5"/>
              <c:spPr>
                <a:solidFill>
                  <a:schemeClr val="accent1"/>
                </a:solidFill>
                <a:ln w="9525">
                  <a:solidFill>
                    <a:schemeClr val="accent1">
                      <a:alpha val="50000"/>
                    </a:schemeClr>
                  </a:solidFill>
                </a:ln>
                <a:effectLst/>
              </c:spPr>
            </c:marker>
            <c:bubble3D val="0"/>
            <c:spPr>
              <a:ln w="28575" cap="rnd">
                <a:solidFill>
                  <a:schemeClr val="accent1">
                    <a:alpha val="50000"/>
                  </a:schemeClr>
                </a:solidFill>
                <a:prstDash val="solid"/>
                <a:round/>
              </a:ln>
              <a:effectLst/>
            </c:spPr>
            <c:extLst>
              <c:ext xmlns:c16="http://schemas.microsoft.com/office/drawing/2014/chart" uri="{C3380CC4-5D6E-409C-BE32-E72D297353CC}">
                <c16:uniqueId val="{00000001-CCC4-D040-9A11-CCAB11A9E219}"/>
              </c:ext>
            </c:extLst>
          </c:dPt>
          <c:dPt>
            <c:idx val="2"/>
            <c:marker>
              <c:symbol val="circle"/>
              <c:size val="5"/>
              <c:spPr>
                <a:solidFill>
                  <a:schemeClr val="accent1"/>
                </a:solidFill>
                <a:ln w="9525">
                  <a:solidFill>
                    <a:schemeClr val="accent1">
                      <a:alpha val="50000"/>
                    </a:schemeClr>
                  </a:solidFill>
                </a:ln>
                <a:effectLst/>
              </c:spPr>
            </c:marker>
            <c:bubble3D val="0"/>
            <c:spPr>
              <a:ln w="28575" cap="rnd">
                <a:solidFill>
                  <a:schemeClr val="accent1">
                    <a:alpha val="50000"/>
                  </a:schemeClr>
                </a:solidFill>
                <a:prstDash val="solid"/>
                <a:round/>
              </a:ln>
              <a:effectLst/>
            </c:spPr>
            <c:extLst>
              <c:ext xmlns:c16="http://schemas.microsoft.com/office/drawing/2014/chart" uri="{C3380CC4-5D6E-409C-BE32-E72D297353CC}">
                <c16:uniqueId val="{00000003-CCC4-D040-9A11-CCAB11A9E219}"/>
              </c:ext>
            </c:extLst>
          </c:dPt>
          <c:cat>
            <c:strRef>
              <c:extLst>
                <c:ext xmlns:c15="http://schemas.microsoft.com/office/drawing/2012/chart" uri="{02D57815-91ED-43cb-92C2-25804820EDAC}">
                  <c15:fullRef>
                    <c15:sqref>'Performance di Mercato'!$B$56:$I$56</c15:sqref>
                  </c15:fullRef>
                </c:ext>
              </c:extLst>
              <c:f>'Performance di Mercato'!$C$56:$I$56</c:f>
              <c:strCache>
                <c:ptCount val="7"/>
                <c:pt idx="0">
                  <c:v>P/E 22</c:v>
                </c:pt>
                <c:pt idx="1">
                  <c:v>P/E 23</c:v>
                </c:pt>
                <c:pt idx="2">
                  <c:v>P/E 24</c:v>
                </c:pt>
                <c:pt idx="3">
                  <c:v>P/E 25</c:v>
                </c:pt>
                <c:pt idx="4">
                  <c:v>P/E 26</c:v>
                </c:pt>
                <c:pt idx="5">
                  <c:v>P/E 27</c:v>
                </c:pt>
                <c:pt idx="6">
                  <c:v>P/E 28</c:v>
                </c:pt>
              </c:strCache>
            </c:strRef>
          </c:cat>
          <c:val>
            <c:numRef>
              <c:extLst>
                <c:ext xmlns:c15="http://schemas.microsoft.com/office/drawing/2012/chart" uri="{02D57815-91ED-43cb-92C2-25804820EDAC}">
                  <c15:fullRef>
                    <c15:sqref>('Performance di Mercato'!$B$57:$E$57,'Performance di Mercato'!$F$57:$I$57)</c15:sqref>
                  </c15:fullRef>
                </c:ext>
              </c:extLst>
              <c:f>('Performance di Mercato'!$C$57:$E$57,'Performance di Mercato'!$F$57:$I$57)</c:f>
              <c:numCache>
                <c:formatCode>General</c:formatCode>
                <c:ptCount val="7"/>
                <c:pt idx="0">
                  <c:v>23.1</c:v>
                </c:pt>
                <c:pt idx="1">
                  <c:v>14</c:v>
                </c:pt>
                <c:pt idx="2">
                  <c:v>16.2</c:v>
                </c:pt>
                <c:pt idx="3">
                  <c:v>19.5</c:v>
                </c:pt>
                <c:pt idx="4">
                  <c:v>18.399999999999999</c:v>
                </c:pt>
                <c:pt idx="5">
                  <c:v>16.899999999999999</c:v>
                </c:pt>
                <c:pt idx="6">
                  <c:v>13.8</c:v>
                </c:pt>
              </c:numCache>
            </c:numRef>
          </c:val>
          <c:smooth val="0"/>
          <c:extLst>
            <c:ext xmlns:c16="http://schemas.microsoft.com/office/drawing/2014/chart" uri="{C3380CC4-5D6E-409C-BE32-E72D297353CC}">
              <c16:uniqueId val="{00000004-CCC4-D040-9A11-CCAB11A9E219}"/>
            </c:ext>
          </c:extLst>
        </c:ser>
        <c:ser>
          <c:idx val="1"/>
          <c:order val="1"/>
          <c:tx>
            <c:strRef>
              <c:f>'Performance di Mercato'!$A$58</c:f>
              <c:strCache>
                <c:ptCount val="1"/>
                <c:pt idx="0">
                  <c:v>Banca Generali</c:v>
                </c:pt>
              </c:strCache>
            </c:strRef>
          </c:tx>
          <c:spPr>
            <a:ln w="28575" cap="rnd">
              <a:solidFill>
                <a:schemeClr val="accent2">
                  <a:alpha val="50000"/>
                </a:schemeClr>
              </a:solidFill>
              <a:prstDash val="dash"/>
              <a:round/>
            </a:ln>
            <a:effectLst/>
          </c:spPr>
          <c:marker>
            <c:symbol val="circle"/>
            <c:size val="5"/>
            <c:spPr>
              <a:solidFill>
                <a:schemeClr val="accent2"/>
              </a:solidFill>
              <a:ln w="9525">
                <a:solidFill>
                  <a:schemeClr val="accent3">
                    <a:alpha val="50000"/>
                  </a:schemeClr>
                </a:solidFill>
              </a:ln>
              <a:effectLst/>
            </c:spPr>
          </c:marker>
          <c:dPt>
            <c:idx val="1"/>
            <c:marker>
              <c:symbol val="circle"/>
              <c:size val="5"/>
              <c:spPr>
                <a:solidFill>
                  <a:schemeClr val="accent2"/>
                </a:solidFill>
                <a:ln w="9525">
                  <a:solidFill>
                    <a:schemeClr val="accent3">
                      <a:alpha val="50000"/>
                    </a:schemeClr>
                  </a:solidFill>
                </a:ln>
                <a:effectLst/>
              </c:spPr>
            </c:marker>
            <c:bubble3D val="0"/>
            <c:spPr>
              <a:ln w="28575" cap="rnd">
                <a:solidFill>
                  <a:schemeClr val="accent2">
                    <a:alpha val="50000"/>
                  </a:schemeClr>
                </a:solidFill>
                <a:prstDash val="solid"/>
                <a:round/>
              </a:ln>
              <a:effectLst/>
            </c:spPr>
            <c:extLst>
              <c:ext xmlns:c16="http://schemas.microsoft.com/office/drawing/2014/chart" uri="{C3380CC4-5D6E-409C-BE32-E72D297353CC}">
                <c16:uniqueId val="{00000006-CCC4-D040-9A11-CCAB11A9E219}"/>
              </c:ext>
            </c:extLst>
          </c:dPt>
          <c:dPt>
            <c:idx val="2"/>
            <c:marker>
              <c:symbol val="circle"/>
              <c:size val="5"/>
              <c:spPr>
                <a:solidFill>
                  <a:schemeClr val="accent2"/>
                </a:solidFill>
                <a:ln w="9525">
                  <a:solidFill>
                    <a:schemeClr val="accent3">
                      <a:alpha val="50000"/>
                    </a:schemeClr>
                  </a:solidFill>
                </a:ln>
                <a:effectLst/>
              </c:spPr>
            </c:marker>
            <c:bubble3D val="0"/>
            <c:spPr>
              <a:ln w="28575" cap="rnd">
                <a:solidFill>
                  <a:schemeClr val="accent2">
                    <a:alpha val="50000"/>
                  </a:schemeClr>
                </a:solidFill>
                <a:prstDash val="solid"/>
                <a:round/>
              </a:ln>
              <a:effectLst/>
            </c:spPr>
            <c:extLst>
              <c:ext xmlns:c16="http://schemas.microsoft.com/office/drawing/2014/chart" uri="{C3380CC4-5D6E-409C-BE32-E72D297353CC}">
                <c16:uniqueId val="{00000008-CCC4-D040-9A11-CCAB11A9E219}"/>
              </c:ext>
            </c:extLst>
          </c:dPt>
          <c:cat>
            <c:strRef>
              <c:extLst>
                <c:ext xmlns:c15="http://schemas.microsoft.com/office/drawing/2012/chart" uri="{02D57815-91ED-43cb-92C2-25804820EDAC}">
                  <c15:fullRef>
                    <c15:sqref>'Performance di Mercato'!$B$56:$I$56</c15:sqref>
                  </c15:fullRef>
                </c:ext>
              </c:extLst>
              <c:f>'Performance di Mercato'!$C$56:$I$56</c:f>
              <c:strCache>
                <c:ptCount val="7"/>
                <c:pt idx="0">
                  <c:v>P/E 22</c:v>
                </c:pt>
                <c:pt idx="1">
                  <c:v>P/E 23</c:v>
                </c:pt>
                <c:pt idx="2">
                  <c:v>P/E 24</c:v>
                </c:pt>
                <c:pt idx="3">
                  <c:v>P/E 25</c:v>
                </c:pt>
                <c:pt idx="4">
                  <c:v>P/E 26</c:v>
                </c:pt>
                <c:pt idx="5">
                  <c:v>P/E 27</c:v>
                </c:pt>
                <c:pt idx="6">
                  <c:v>P/E 28</c:v>
                </c:pt>
              </c:strCache>
            </c:strRef>
          </c:cat>
          <c:val>
            <c:numRef>
              <c:extLst>
                <c:ext xmlns:c15="http://schemas.microsoft.com/office/drawing/2012/chart" uri="{02D57815-91ED-43cb-92C2-25804820EDAC}">
                  <c15:fullRef>
                    <c15:sqref>('Performance di Mercato'!$B$58:$E$58,'Performance di Mercato'!$F$58:$I$58)</c15:sqref>
                  </c15:fullRef>
                </c:ext>
              </c:extLst>
              <c:f>('Performance di Mercato'!$C$58:$E$58,'Performance di Mercato'!$F$58:$I$58)</c:f>
              <c:numCache>
                <c:formatCode>General</c:formatCode>
                <c:ptCount val="7"/>
                <c:pt idx="0">
                  <c:v>15.1</c:v>
                </c:pt>
                <c:pt idx="1">
                  <c:v>12</c:v>
                </c:pt>
                <c:pt idx="2">
                  <c:v>12.1</c:v>
                </c:pt>
                <c:pt idx="3">
                  <c:v>15.1</c:v>
                </c:pt>
                <c:pt idx="4">
                  <c:v>14.6</c:v>
                </c:pt>
                <c:pt idx="5">
                  <c:v>13.9</c:v>
                </c:pt>
                <c:pt idx="6">
                  <c:v>13.9</c:v>
                </c:pt>
              </c:numCache>
            </c:numRef>
          </c:val>
          <c:smooth val="0"/>
          <c:extLst>
            <c:ext xmlns:c16="http://schemas.microsoft.com/office/drawing/2014/chart" uri="{C3380CC4-5D6E-409C-BE32-E72D297353CC}">
              <c16:uniqueId val="{00000009-CCC4-D040-9A11-CCAB11A9E219}"/>
            </c:ext>
          </c:extLst>
        </c:ser>
        <c:ser>
          <c:idx val="2"/>
          <c:order val="2"/>
          <c:tx>
            <c:strRef>
              <c:f>'Performance di Mercato'!$A$59</c:f>
              <c:strCache>
                <c:ptCount val="1"/>
                <c:pt idx="0">
                  <c:v>Mediolanum</c:v>
                </c:pt>
              </c:strCache>
            </c:strRef>
          </c:tx>
          <c:spPr>
            <a:ln w="28575" cap="rnd">
              <a:solidFill>
                <a:schemeClr val="accent3">
                  <a:alpha val="50000"/>
                </a:schemeClr>
              </a:solidFill>
              <a:prstDash val="dash"/>
              <a:round/>
            </a:ln>
            <a:effectLst/>
          </c:spPr>
          <c:marker>
            <c:symbol val="circle"/>
            <c:size val="5"/>
            <c:spPr>
              <a:solidFill>
                <a:schemeClr val="accent3"/>
              </a:solidFill>
              <a:ln w="9525">
                <a:solidFill>
                  <a:schemeClr val="accent3">
                    <a:alpha val="50000"/>
                  </a:schemeClr>
                </a:solidFill>
              </a:ln>
              <a:effectLst/>
            </c:spPr>
          </c:marker>
          <c:dPt>
            <c:idx val="1"/>
            <c:marker>
              <c:symbol val="circle"/>
              <c:size val="5"/>
              <c:spPr>
                <a:solidFill>
                  <a:schemeClr val="accent3"/>
                </a:solidFill>
                <a:ln w="9525">
                  <a:solidFill>
                    <a:schemeClr val="accent3">
                      <a:alpha val="50000"/>
                    </a:schemeClr>
                  </a:solidFill>
                </a:ln>
                <a:effectLst/>
              </c:spPr>
            </c:marker>
            <c:bubble3D val="0"/>
            <c:spPr>
              <a:ln w="28575" cap="rnd">
                <a:solidFill>
                  <a:schemeClr val="accent3">
                    <a:alpha val="50000"/>
                  </a:schemeClr>
                </a:solidFill>
                <a:prstDash val="solid"/>
                <a:round/>
              </a:ln>
              <a:effectLst/>
            </c:spPr>
            <c:extLst>
              <c:ext xmlns:c16="http://schemas.microsoft.com/office/drawing/2014/chart" uri="{C3380CC4-5D6E-409C-BE32-E72D297353CC}">
                <c16:uniqueId val="{0000000B-CCC4-D040-9A11-CCAB11A9E219}"/>
              </c:ext>
            </c:extLst>
          </c:dPt>
          <c:dPt>
            <c:idx val="2"/>
            <c:marker>
              <c:symbol val="circle"/>
              <c:size val="5"/>
              <c:spPr>
                <a:solidFill>
                  <a:schemeClr val="accent3"/>
                </a:solidFill>
                <a:ln w="9525">
                  <a:solidFill>
                    <a:schemeClr val="accent3">
                      <a:alpha val="50000"/>
                    </a:schemeClr>
                  </a:solidFill>
                </a:ln>
                <a:effectLst/>
              </c:spPr>
            </c:marker>
            <c:bubble3D val="0"/>
            <c:spPr>
              <a:ln w="28575" cap="rnd">
                <a:solidFill>
                  <a:schemeClr val="accent3">
                    <a:alpha val="50000"/>
                  </a:schemeClr>
                </a:solidFill>
                <a:prstDash val="solid"/>
                <a:round/>
              </a:ln>
              <a:effectLst/>
            </c:spPr>
            <c:extLst>
              <c:ext xmlns:c16="http://schemas.microsoft.com/office/drawing/2014/chart" uri="{C3380CC4-5D6E-409C-BE32-E72D297353CC}">
                <c16:uniqueId val="{0000000D-CCC4-D040-9A11-CCAB11A9E219}"/>
              </c:ext>
            </c:extLst>
          </c:dPt>
          <c:cat>
            <c:strRef>
              <c:extLst>
                <c:ext xmlns:c15="http://schemas.microsoft.com/office/drawing/2012/chart" uri="{02D57815-91ED-43cb-92C2-25804820EDAC}">
                  <c15:fullRef>
                    <c15:sqref>'Performance di Mercato'!$B$56:$I$56</c15:sqref>
                  </c15:fullRef>
                </c:ext>
              </c:extLst>
              <c:f>'Performance di Mercato'!$C$56:$I$56</c:f>
              <c:strCache>
                <c:ptCount val="7"/>
                <c:pt idx="0">
                  <c:v>P/E 22</c:v>
                </c:pt>
                <c:pt idx="1">
                  <c:v>P/E 23</c:v>
                </c:pt>
                <c:pt idx="2">
                  <c:v>P/E 24</c:v>
                </c:pt>
                <c:pt idx="3">
                  <c:v>P/E 25</c:v>
                </c:pt>
                <c:pt idx="4">
                  <c:v>P/E 26</c:v>
                </c:pt>
                <c:pt idx="5">
                  <c:v>P/E 27</c:v>
                </c:pt>
                <c:pt idx="6">
                  <c:v>P/E 28</c:v>
                </c:pt>
              </c:strCache>
            </c:strRef>
          </c:cat>
          <c:val>
            <c:numRef>
              <c:extLst>
                <c:ext xmlns:c15="http://schemas.microsoft.com/office/drawing/2012/chart" uri="{02D57815-91ED-43cb-92C2-25804820EDAC}">
                  <c15:fullRef>
                    <c15:sqref>'Performance di Mercato'!$B$59:$I$59</c15:sqref>
                  </c15:fullRef>
                </c:ext>
              </c:extLst>
              <c:f>'Performance di Mercato'!$C$59:$I$59</c:f>
              <c:numCache>
                <c:formatCode>General</c:formatCode>
                <c:ptCount val="7"/>
                <c:pt idx="0">
                  <c:v>11</c:v>
                </c:pt>
                <c:pt idx="1">
                  <c:v>7.7</c:v>
                </c:pt>
                <c:pt idx="2">
                  <c:v>7.6</c:v>
                </c:pt>
                <c:pt idx="3">
                  <c:v>11.7</c:v>
                </c:pt>
                <c:pt idx="4">
                  <c:v>11.5</c:v>
                </c:pt>
                <c:pt idx="5">
                  <c:v>10.9</c:v>
                </c:pt>
                <c:pt idx="6">
                  <c:v>8.9</c:v>
                </c:pt>
              </c:numCache>
            </c:numRef>
          </c:val>
          <c:smooth val="0"/>
          <c:extLst>
            <c:ext xmlns:c16="http://schemas.microsoft.com/office/drawing/2014/chart" uri="{C3380CC4-5D6E-409C-BE32-E72D297353CC}">
              <c16:uniqueId val="{0000000E-CCC4-D040-9A11-CCAB11A9E219}"/>
            </c:ext>
          </c:extLst>
        </c:ser>
        <c:ser>
          <c:idx val="3"/>
          <c:order val="3"/>
          <c:tx>
            <c:strRef>
              <c:f>'Performance di Mercato'!$A$60</c:f>
              <c:strCache>
                <c:ptCount val="1"/>
                <c:pt idx="0">
                  <c:v>Mediobanca</c:v>
                </c:pt>
              </c:strCache>
            </c:strRef>
          </c:tx>
          <c:spPr>
            <a:ln w="34925" cap="rnd">
              <a:solidFill>
                <a:schemeClr val="accent4"/>
              </a:solidFill>
              <a:prstDash val="dash"/>
              <a:round/>
            </a:ln>
            <a:effectLst/>
          </c:spPr>
          <c:marker>
            <c:symbol val="circle"/>
            <c:size val="5"/>
            <c:spPr>
              <a:solidFill>
                <a:schemeClr val="accent4"/>
              </a:solidFill>
              <a:ln w="9525">
                <a:solidFill>
                  <a:schemeClr val="accent4"/>
                </a:solidFill>
              </a:ln>
              <a:effectLst/>
            </c:spPr>
          </c:marker>
          <c:dPt>
            <c:idx val="1"/>
            <c:marker>
              <c:symbol val="circle"/>
              <c:size val="5"/>
              <c:spPr>
                <a:solidFill>
                  <a:schemeClr val="accent4"/>
                </a:solidFill>
                <a:ln w="9525">
                  <a:solidFill>
                    <a:schemeClr val="accent4"/>
                  </a:solidFill>
                </a:ln>
                <a:effectLst/>
              </c:spPr>
            </c:marker>
            <c:bubble3D val="0"/>
            <c:spPr>
              <a:ln w="34925" cap="rnd">
                <a:solidFill>
                  <a:schemeClr val="accent4"/>
                </a:solidFill>
                <a:prstDash val="solid"/>
                <a:round/>
              </a:ln>
              <a:effectLst/>
            </c:spPr>
            <c:extLst>
              <c:ext xmlns:c16="http://schemas.microsoft.com/office/drawing/2014/chart" uri="{C3380CC4-5D6E-409C-BE32-E72D297353CC}">
                <c16:uniqueId val="{00000010-CCC4-D040-9A11-CCAB11A9E219}"/>
              </c:ext>
            </c:extLst>
          </c:dPt>
          <c:dPt>
            <c:idx val="2"/>
            <c:marker>
              <c:symbol val="circle"/>
              <c:size val="5"/>
              <c:spPr>
                <a:solidFill>
                  <a:schemeClr val="accent4"/>
                </a:solidFill>
                <a:ln w="9525">
                  <a:solidFill>
                    <a:schemeClr val="accent4"/>
                  </a:solidFill>
                </a:ln>
                <a:effectLst/>
              </c:spPr>
            </c:marker>
            <c:bubble3D val="0"/>
            <c:spPr>
              <a:ln w="34925" cap="rnd">
                <a:solidFill>
                  <a:schemeClr val="accent4"/>
                </a:solidFill>
                <a:prstDash val="solid"/>
                <a:round/>
              </a:ln>
              <a:effectLst/>
            </c:spPr>
            <c:extLst>
              <c:ext xmlns:c16="http://schemas.microsoft.com/office/drawing/2014/chart" uri="{C3380CC4-5D6E-409C-BE32-E72D297353CC}">
                <c16:uniqueId val="{00000012-CCC4-D040-9A11-CCAB11A9E219}"/>
              </c:ext>
            </c:extLst>
          </c:dPt>
          <c:dLbls>
            <c:dLbl>
              <c:idx val="2"/>
              <c:layout>
                <c:manualLayout>
                  <c:x val="-4.3500569941928469E-2"/>
                  <c:y val="-2.4202383359087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CC4-D040-9A11-CCAB11A9E2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'Performance di Mercato'!$B$56:$I$56</c15:sqref>
                  </c15:fullRef>
                </c:ext>
              </c:extLst>
              <c:f>'Performance di Mercato'!$C$56:$I$56</c:f>
              <c:strCache>
                <c:ptCount val="7"/>
                <c:pt idx="0">
                  <c:v>P/E 22</c:v>
                </c:pt>
                <c:pt idx="1">
                  <c:v>P/E 23</c:v>
                </c:pt>
                <c:pt idx="2">
                  <c:v>P/E 24</c:v>
                </c:pt>
                <c:pt idx="3">
                  <c:v>P/E 25</c:v>
                </c:pt>
                <c:pt idx="4">
                  <c:v>P/E 26</c:v>
                </c:pt>
                <c:pt idx="5">
                  <c:v>P/E 27</c:v>
                </c:pt>
                <c:pt idx="6">
                  <c:v>P/E 28</c:v>
                </c:pt>
              </c:strCache>
            </c:strRef>
          </c:cat>
          <c:val>
            <c:numRef>
              <c:extLst>
                <c:ext xmlns:c15="http://schemas.microsoft.com/office/drawing/2012/chart" uri="{02D57815-91ED-43cb-92C2-25804820EDAC}">
                  <c15:fullRef>
                    <c15:sqref>'Performance di Mercato'!$B$60:$I$60</c15:sqref>
                  </c15:fullRef>
                </c:ext>
              </c:extLst>
              <c:f>'Performance di Mercato'!$C$60:$I$60</c:f>
              <c:numCache>
                <c:formatCode>General</c:formatCode>
                <c:ptCount val="7"/>
                <c:pt idx="0">
                  <c:v>7.9</c:v>
                </c:pt>
                <c:pt idx="1">
                  <c:v>7.7</c:v>
                </c:pt>
                <c:pt idx="2">
                  <c:v>8.9</c:v>
                </c:pt>
                <c:pt idx="3">
                  <c:v>12</c:v>
                </c:pt>
                <c:pt idx="4">
                  <c:v>10.9</c:v>
                </c:pt>
                <c:pt idx="5">
                  <c:v>10.5</c:v>
                </c:pt>
                <c:pt idx="6">
                  <c:v>10.199999999999999</c:v>
                </c:pt>
              </c:numCache>
            </c:numRef>
          </c:val>
          <c:smooth val="0"/>
          <c:extLst>
            <c:ext xmlns:c16="http://schemas.microsoft.com/office/drawing/2014/chart" uri="{C3380CC4-5D6E-409C-BE32-E72D297353CC}">
              <c16:uniqueId val="{00000013-CCC4-D040-9A11-CCAB11A9E219}"/>
            </c:ext>
          </c:extLst>
        </c:ser>
        <c:ser>
          <c:idx val="4"/>
          <c:order val="4"/>
          <c:tx>
            <c:strRef>
              <c:f>'Performance di Mercato'!$A$61</c:f>
              <c:strCache>
                <c:ptCount val="1"/>
                <c:pt idx="0">
                  <c:v>Intesa </c:v>
                </c:pt>
              </c:strCache>
            </c:strRef>
          </c:tx>
          <c:spPr>
            <a:ln w="28575" cap="rnd">
              <a:solidFill>
                <a:schemeClr val="accent5">
                  <a:alpha val="50000"/>
                </a:schemeClr>
              </a:solidFill>
              <a:prstDash val="dash"/>
              <a:round/>
            </a:ln>
            <a:effectLst/>
          </c:spPr>
          <c:marker>
            <c:symbol val="circle"/>
            <c:size val="5"/>
            <c:spPr>
              <a:solidFill>
                <a:schemeClr val="accent5"/>
              </a:solidFill>
              <a:ln w="9525">
                <a:solidFill>
                  <a:schemeClr val="accent5">
                    <a:alpha val="50000"/>
                  </a:schemeClr>
                </a:solidFill>
              </a:ln>
              <a:effectLst/>
            </c:spPr>
          </c:marker>
          <c:dPt>
            <c:idx val="1"/>
            <c:marker>
              <c:symbol val="circle"/>
              <c:size val="5"/>
              <c:spPr>
                <a:solidFill>
                  <a:schemeClr val="accent5"/>
                </a:solidFill>
                <a:ln w="9525">
                  <a:solidFill>
                    <a:schemeClr val="accent5">
                      <a:alpha val="50000"/>
                    </a:schemeClr>
                  </a:solidFill>
                </a:ln>
                <a:effectLst/>
              </c:spPr>
            </c:marker>
            <c:bubble3D val="0"/>
            <c:spPr>
              <a:ln w="28575" cap="rnd">
                <a:solidFill>
                  <a:schemeClr val="accent5">
                    <a:alpha val="50000"/>
                  </a:schemeClr>
                </a:solidFill>
                <a:prstDash val="solid"/>
                <a:round/>
              </a:ln>
              <a:effectLst/>
            </c:spPr>
            <c:extLst>
              <c:ext xmlns:c16="http://schemas.microsoft.com/office/drawing/2014/chart" uri="{C3380CC4-5D6E-409C-BE32-E72D297353CC}">
                <c16:uniqueId val="{00000015-CCC4-D040-9A11-CCAB11A9E219}"/>
              </c:ext>
            </c:extLst>
          </c:dPt>
          <c:dPt>
            <c:idx val="2"/>
            <c:marker>
              <c:symbol val="circle"/>
              <c:size val="5"/>
              <c:spPr>
                <a:solidFill>
                  <a:schemeClr val="accent5"/>
                </a:solidFill>
                <a:ln w="9525">
                  <a:solidFill>
                    <a:schemeClr val="accent5">
                      <a:alpha val="50000"/>
                    </a:schemeClr>
                  </a:solidFill>
                </a:ln>
                <a:effectLst/>
              </c:spPr>
            </c:marker>
            <c:bubble3D val="0"/>
            <c:spPr>
              <a:ln w="28575" cap="rnd">
                <a:solidFill>
                  <a:schemeClr val="accent5">
                    <a:alpha val="50000"/>
                  </a:schemeClr>
                </a:solidFill>
                <a:prstDash val="solid"/>
                <a:round/>
              </a:ln>
              <a:effectLst/>
            </c:spPr>
            <c:extLst>
              <c:ext xmlns:c16="http://schemas.microsoft.com/office/drawing/2014/chart" uri="{C3380CC4-5D6E-409C-BE32-E72D297353CC}">
                <c16:uniqueId val="{00000017-CCC4-D040-9A11-CCAB11A9E219}"/>
              </c:ext>
            </c:extLst>
          </c:dPt>
          <c:cat>
            <c:strRef>
              <c:extLst>
                <c:ext xmlns:c15="http://schemas.microsoft.com/office/drawing/2012/chart" uri="{02D57815-91ED-43cb-92C2-25804820EDAC}">
                  <c15:fullRef>
                    <c15:sqref>'Performance di Mercato'!$B$56:$I$56</c15:sqref>
                  </c15:fullRef>
                </c:ext>
              </c:extLst>
              <c:f>'Performance di Mercato'!$C$56:$I$56</c:f>
              <c:strCache>
                <c:ptCount val="7"/>
                <c:pt idx="0">
                  <c:v>P/E 22</c:v>
                </c:pt>
                <c:pt idx="1">
                  <c:v>P/E 23</c:v>
                </c:pt>
                <c:pt idx="2">
                  <c:v>P/E 24</c:v>
                </c:pt>
                <c:pt idx="3">
                  <c:v>P/E 25</c:v>
                </c:pt>
                <c:pt idx="4">
                  <c:v>P/E 26</c:v>
                </c:pt>
                <c:pt idx="5">
                  <c:v>P/E 27</c:v>
                </c:pt>
                <c:pt idx="6">
                  <c:v>P/E 28</c:v>
                </c:pt>
              </c:strCache>
            </c:strRef>
          </c:cat>
          <c:val>
            <c:numRef>
              <c:extLst>
                <c:ext xmlns:c15="http://schemas.microsoft.com/office/drawing/2012/chart" uri="{02D57815-91ED-43cb-92C2-25804820EDAC}">
                  <c15:fullRef>
                    <c15:sqref>'Performance di Mercato'!$B$61:$I$61</c15:sqref>
                  </c15:fullRef>
                </c:ext>
              </c:extLst>
              <c:f>'Performance di Mercato'!$C$61:$I$61</c:f>
              <c:numCache>
                <c:formatCode>General</c:formatCode>
                <c:ptCount val="7"/>
                <c:pt idx="0">
                  <c:v>9</c:v>
                </c:pt>
                <c:pt idx="1">
                  <c:v>6.4</c:v>
                </c:pt>
                <c:pt idx="2">
                  <c:v>7.9</c:v>
                </c:pt>
                <c:pt idx="3">
                  <c:v>9.1</c:v>
                </c:pt>
                <c:pt idx="4">
                  <c:v>8.6</c:v>
                </c:pt>
                <c:pt idx="5">
                  <c:v>8.1</c:v>
                </c:pt>
                <c:pt idx="6">
                  <c:v>7.9</c:v>
                </c:pt>
              </c:numCache>
            </c:numRef>
          </c:val>
          <c:smooth val="0"/>
          <c:extLst>
            <c:ext xmlns:c16="http://schemas.microsoft.com/office/drawing/2014/chart" uri="{C3380CC4-5D6E-409C-BE32-E72D297353CC}">
              <c16:uniqueId val="{00000018-CCC4-D040-9A11-CCAB11A9E219}"/>
            </c:ext>
          </c:extLst>
        </c:ser>
        <c:ser>
          <c:idx val="5"/>
          <c:order val="5"/>
          <c:tx>
            <c:strRef>
              <c:f>'Performance di Mercato'!$A$62</c:f>
              <c:strCache>
                <c:ptCount val="1"/>
                <c:pt idx="0">
                  <c:v>Unicredit</c:v>
                </c:pt>
              </c:strCache>
            </c:strRef>
          </c:tx>
          <c:spPr>
            <a:ln w="28575" cap="rnd">
              <a:solidFill>
                <a:schemeClr val="accent6">
                  <a:alpha val="50000"/>
                </a:schemeClr>
              </a:solidFill>
              <a:prstDash val="dash"/>
              <a:round/>
            </a:ln>
            <a:effectLst/>
          </c:spPr>
          <c:marker>
            <c:symbol val="circle"/>
            <c:size val="5"/>
            <c:spPr>
              <a:solidFill>
                <a:schemeClr val="accent6"/>
              </a:solidFill>
              <a:ln w="9525">
                <a:solidFill>
                  <a:schemeClr val="accent6">
                    <a:alpha val="50000"/>
                  </a:schemeClr>
                </a:solidFill>
              </a:ln>
              <a:effectLst/>
            </c:spPr>
          </c:marker>
          <c:dPt>
            <c:idx val="1"/>
            <c:marker>
              <c:symbol val="circle"/>
              <c:size val="5"/>
              <c:spPr>
                <a:solidFill>
                  <a:schemeClr val="accent6"/>
                </a:solidFill>
                <a:ln w="9525">
                  <a:solidFill>
                    <a:schemeClr val="accent6">
                      <a:alpha val="50000"/>
                    </a:schemeClr>
                  </a:solidFill>
                </a:ln>
                <a:effectLst/>
              </c:spPr>
            </c:marker>
            <c:bubble3D val="0"/>
            <c:spPr>
              <a:ln w="28575" cap="rnd">
                <a:solidFill>
                  <a:schemeClr val="accent6">
                    <a:alpha val="50000"/>
                  </a:schemeClr>
                </a:solidFill>
                <a:prstDash val="solid"/>
                <a:round/>
              </a:ln>
              <a:effectLst/>
            </c:spPr>
            <c:extLst>
              <c:ext xmlns:c16="http://schemas.microsoft.com/office/drawing/2014/chart" uri="{C3380CC4-5D6E-409C-BE32-E72D297353CC}">
                <c16:uniqueId val="{0000001A-CCC4-D040-9A11-CCAB11A9E219}"/>
              </c:ext>
            </c:extLst>
          </c:dPt>
          <c:dPt>
            <c:idx val="2"/>
            <c:marker>
              <c:symbol val="circle"/>
              <c:size val="5"/>
              <c:spPr>
                <a:solidFill>
                  <a:schemeClr val="accent6"/>
                </a:solidFill>
                <a:ln w="9525">
                  <a:solidFill>
                    <a:schemeClr val="accent6">
                      <a:alpha val="50000"/>
                    </a:schemeClr>
                  </a:solidFill>
                </a:ln>
                <a:effectLst/>
              </c:spPr>
            </c:marker>
            <c:bubble3D val="0"/>
            <c:spPr>
              <a:ln w="28575" cap="rnd">
                <a:solidFill>
                  <a:schemeClr val="accent6">
                    <a:alpha val="50000"/>
                  </a:schemeClr>
                </a:solidFill>
                <a:prstDash val="solid"/>
                <a:round/>
              </a:ln>
              <a:effectLst/>
            </c:spPr>
            <c:extLst>
              <c:ext xmlns:c16="http://schemas.microsoft.com/office/drawing/2014/chart" uri="{C3380CC4-5D6E-409C-BE32-E72D297353CC}">
                <c16:uniqueId val="{0000001C-CCC4-D040-9A11-CCAB11A9E219}"/>
              </c:ext>
            </c:extLst>
          </c:dPt>
          <c:cat>
            <c:strRef>
              <c:extLst>
                <c:ext xmlns:c15="http://schemas.microsoft.com/office/drawing/2012/chart" uri="{02D57815-91ED-43cb-92C2-25804820EDAC}">
                  <c15:fullRef>
                    <c15:sqref>'Performance di Mercato'!$B$56:$I$56</c15:sqref>
                  </c15:fullRef>
                </c:ext>
              </c:extLst>
              <c:f>'Performance di Mercato'!$C$56:$I$56</c:f>
              <c:strCache>
                <c:ptCount val="7"/>
                <c:pt idx="0">
                  <c:v>P/E 22</c:v>
                </c:pt>
                <c:pt idx="1">
                  <c:v>P/E 23</c:v>
                </c:pt>
                <c:pt idx="2">
                  <c:v>P/E 24</c:v>
                </c:pt>
                <c:pt idx="3">
                  <c:v>P/E 25</c:v>
                </c:pt>
                <c:pt idx="4">
                  <c:v>P/E 26</c:v>
                </c:pt>
                <c:pt idx="5">
                  <c:v>P/E 27</c:v>
                </c:pt>
                <c:pt idx="6">
                  <c:v>P/E 28</c:v>
                </c:pt>
              </c:strCache>
            </c:strRef>
          </c:cat>
          <c:val>
            <c:numRef>
              <c:extLst>
                <c:ext xmlns:c15="http://schemas.microsoft.com/office/drawing/2012/chart" uri="{02D57815-91ED-43cb-92C2-25804820EDAC}">
                  <c15:fullRef>
                    <c15:sqref>'Performance di Mercato'!$B$62:$I$62</c15:sqref>
                  </c15:fullRef>
                </c:ext>
              </c:extLst>
              <c:f>'Performance di Mercato'!$C$62:$I$62</c:f>
              <c:numCache>
                <c:formatCode>General</c:formatCode>
                <c:ptCount val="7"/>
                <c:pt idx="0">
                  <c:v>5.3</c:v>
                </c:pt>
                <c:pt idx="1">
                  <c:v>5.2</c:v>
                </c:pt>
                <c:pt idx="2">
                  <c:v>6.7</c:v>
                </c:pt>
                <c:pt idx="3">
                  <c:v>9</c:v>
                </c:pt>
                <c:pt idx="4">
                  <c:v>8.4</c:v>
                </c:pt>
                <c:pt idx="5">
                  <c:v>7.6</c:v>
                </c:pt>
                <c:pt idx="6">
                  <c:v>6.9</c:v>
                </c:pt>
              </c:numCache>
            </c:numRef>
          </c:val>
          <c:smooth val="0"/>
          <c:extLst>
            <c:ext xmlns:c16="http://schemas.microsoft.com/office/drawing/2014/chart" uri="{C3380CC4-5D6E-409C-BE32-E72D297353CC}">
              <c16:uniqueId val="{0000001D-CCC4-D040-9A11-CCAB11A9E219}"/>
            </c:ext>
          </c:extLst>
        </c:ser>
        <c:ser>
          <c:idx val="6"/>
          <c:order val="6"/>
          <c:tx>
            <c:strRef>
              <c:f>'Performance di Mercato'!$A$63</c:f>
              <c:strCache>
                <c:ptCount val="1"/>
                <c:pt idx="0">
                  <c:v>Banco BPM</c:v>
                </c:pt>
              </c:strCache>
            </c:strRef>
          </c:tx>
          <c:spPr>
            <a:ln w="28575" cap="rnd">
              <a:solidFill>
                <a:schemeClr val="accent1">
                  <a:lumMod val="60000"/>
                  <a:alpha val="50000"/>
                </a:schemeClr>
              </a:solidFill>
              <a:prstDash val="dash"/>
              <a:round/>
            </a:ln>
            <a:effectLst/>
          </c:spPr>
          <c:marker>
            <c:symbol val="circle"/>
            <c:size val="5"/>
            <c:spPr>
              <a:solidFill>
                <a:schemeClr val="accent1">
                  <a:lumMod val="60000"/>
                </a:schemeClr>
              </a:solidFill>
              <a:ln w="9525">
                <a:solidFill>
                  <a:schemeClr val="accent1">
                    <a:lumMod val="60000"/>
                    <a:alpha val="50000"/>
                  </a:schemeClr>
                </a:solidFill>
              </a:ln>
              <a:effectLst/>
            </c:spPr>
          </c:marker>
          <c:dPt>
            <c:idx val="1"/>
            <c:marker>
              <c:symbol val="circle"/>
              <c:size val="5"/>
              <c:spPr>
                <a:solidFill>
                  <a:schemeClr val="accent1">
                    <a:lumMod val="60000"/>
                  </a:schemeClr>
                </a:solidFill>
                <a:ln w="9525">
                  <a:solidFill>
                    <a:schemeClr val="accent1">
                      <a:lumMod val="60000"/>
                      <a:alpha val="50000"/>
                    </a:schemeClr>
                  </a:solidFill>
                </a:ln>
                <a:effectLst/>
              </c:spPr>
            </c:marker>
            <c:bubble3D val="0"/>
            <c:spPr>
              <a:ln w="28575" cap="rnd">
                <a:solidFill>
                  <a:schemeClr val="accent1">
                    <a:lumMod val="60000"/>
                    <a:alpha val="50000"/>
                  </a:schemeClr>
                </a:solidFill>
                <a:prstDash val="solid"/>
                <a:round/>
              </a:ln>
              <a:effectLst/>
            </c:spPr>
            <c:extLst>
              <c:ext xmlns:c16="http://schemas.microsoft.com/office/drawing/2014/chart" uri="{C3380CC4-5D6E-409C-BE32-E72D297353CC}">
                <c16:uniqueId val="{0000001F-CCC4-D040-9A11-CCAB11A9E219}"/>
              </c:ext>
            </c:extLst>
          </c:dPt>
          <c:dPt>
            <c:idx val="2"/>
            <c:marker>
              <c:symbol val="circle"/>
              <c:size val="5"/>
              <c:spPr>
                <a:solidFill>
                  <a:schemeClr val="accent1">
                    <a:lumMod val="60000"/>
                  </a:schemeClr>
                </a:solidFill>
                <a:ln w="9525">
                  <a:solidFill>
                    <a:schemeClr val="accent1">
                      <a:lumMod val="60000"/>
                      <a:alpha val="50000"/>
                    </a:schemeClr>
                  </a:solidFill>
                </a:ln>
                <a:effectLst/>
              </c:spPr>
            </c:marker>
            <c:bubble3D val="0"/>
            <c:spPr>
              <a:ln w="28575" cap="rnd">
                <a:solidFill>
                  <a:schemeClr val="accent1">
                    <a:lumMod val="60000"/>
                    <a:alpha val="50000"/>
                  </a:schemeClr>
                </a:solidFill>
                <a:prstDash val="solid"/>
                <a:round/>
              </a:ln>
              <a:effectLst/>
            </c:spPr>
            <c:extLst>
              <c:ext xmlns:c16="http://schemas.microsoft.com/office/drawing/2014/chart" uri="{C3380CC4-5D6E-409C-BE32-E72D297353CC}">
                <c16:uniqueId val="{00000021-CCC4-D040-9A11-CCAB11A9E219}"/>
              </c:ext>
            </c:extLst>
          </c:dPt>
          <c:cat>
            <c:strRef>
              <c:extLst>
                <c:ext xmlns:c15="http://schemas.microsoft.com/office/drawing/2012/chart" uri="{02D57815-91ED-43cb-92C2-25804820EDAC}">
                  <c15:fullRef>
                    <c15:sqref>'Performance di Mercato'!$B$56:$I$56</c15:sqref>
                  </c15:fullRef>
                </c:ext>
              </c:extLst>
              <c:f>'Performance di Mercato'!$C$56:$I$56</c:f>
              <c:strCache>
                <c:ptCount val="7"/>
                <c:pt idx="0">
                  <c:v>P/E 22</c:v>
                </c:pt>
                <c:pt idx="1">
                  <c:v>P/E 23</c:v>
                </c:pt>
                <c:pt idx="2">
                  <c:v>P/E 24</c:v>
                </c:pt>
                <c:pt idx="3">
                  <c:v>P/E 25</c:v>
                </c:pt>
                <c:pt idx="4">
                  <c:v>P/E 26</c:v>
                </c:pt>
                <c:pt idx="5">
                  <c:v>P/E 27</c:v>
                </c:pt>
                <c:pt idx="6">
                  <c:v>P/E 28</c:v>
                </c:pt>
              </c:strCache>
            </c:strRef>
          </c:cat>
          <c:val>
            <c:numRef>
              <c:extLst>
                <c:ext xmlns:c15="http://schemas.microsoft.com/office/drawing/2012/chart" uri="{02D57815-91ED-43cb-92C2-25804820EDAC}">
                  <c15:fullRef>
                    <c15:sqref>'Performance di Mercato'!$B$63:$I$63</c15:sqref>
                  </c15:fullRef>
                </c:ext>
              </c:extLst>
              <c:f>'Performance di Mercato'!$C$63:$I$63</c:f>
              <c:numCache>
                <c:formatCode>General</c:formatCode>
                <c:ptCount val="7"/>
                <c:pt idx="0">
                  <c:v>7.2</c:v>
                </c:pt>
                <c:pt idx="1">
                  <c:v>5.8</c:v>
                </c:pt>
                <c:pt idx="2">
                  <c:v>7.6</c:v>
                </c:pt>
                <c:pt idx="3">
                  <c:v>8.6</c:v>
                </c:pt>
                <c:pt idx="4">
                  <c:v>8.5</c:v>
                </c:pt>
                <c:pt idx="5">
                  <c:v>8.1</c:v>
                </c:pt>
                <c:pt idx="6">
                  <c:v>7.6</c:v>
                </c:pt>
              </c:numCache>
            </c:numRef>
          </c:val>
          <c:smooth val="0"/>
          <c:extLst>
            <c:ext xmlns:c16="http://schemas.microsoft.com/office/drawing/2014/chart" uri="{C3380CC4-5D6E-409C-BE32-E72D297353CC}">
              <c16:uniqueId val="{00000022-CCC4-D040-9A11-CCAB11A9E219}"/>
            </c:ext>
          </c:extLst>
        </c:ser>
        <c:dLbls>
          <c:showLegendKey val="0"/>
          <c:showVal val="0"/>
          <c:showCatName val="0"/>
          <c:showSerName val="0"/>
          <c:showPercent val="0"/>
          <c:showBubbleSize val="0"/>
        </c:dLbls>
        <c:marker val="1"/>
        <c:smooth val="0"/>
        <c:axId val="462768832"/>
        <c:axId val="462777472"/>
      </c:lineChart>
      <c:catAx>
        <c:axId val="46276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62777472"/>
        <c:crosses val="autoZero"/>
        <c:auto val="1"/>
        <c:lblAlgn val="ctr"/>
        <c:lblOffset val="100"/>
        <c:noMultiLvlLbl val="0"/>
      </c:catAx>
      <c:valAx>
        <c:axId val="46277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62768832"/>
        <c:crosses val="autoZero"/>
        <c:crossBetween val="between"/>
      </c:valAx>
      <c:spPr>
        <a:noFill/>
        <a:ln>
          <a:noFill/>
        </a:ln>
        <a:effectLst/>
      </c:spPr>
    </c:plotArea>
    <c:legend>
      <c:legendPos val="b"/>
      <c:layout>
        <c:manualLayout>
          <c:xMode val="edge"/>
          <c:yMode val="edge"/>
          <c:x val="4.8407330152385138E-2"/>
          <c:y val="0.81395819152303972"/>
          <c:w val="0.92684221670157263"/>
          <c:h val="0.1472055728779741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483663489192221E-2"/>
          <c:y val="2.0791223413509773E-2"/>
          <c:w val="0.95060711354220417"/>
          <c:h val="0.66801043582127084"/>
        </c:manualLayout>
      </c:layout>
      <c:lineChart>
        <c:grouping val="standard"/>
        <c:varyColors val="0"/>
        <c:ser>
          <c:idx val="0"/>
          <c:order val="0"/>
          <c:tx>
            <c:strRef>
              <c:f>'Performance di Mercato'!$A$104</c:f>
              <c:strCache>
                <c:ptCount val="1"/>
                <c:pt idx="0">
                  <c:v>FinecoBank</c:v>
                </c:pt>
              </c:strCache>
            </c:strRef>
          </c:tx>
          <c:spPr>
            <a:ln w="28575" cap="rnd">
              <a:solidFill>
                <a:schemeClr val="accent1">
                  <a:alpha val="50000"/>
                </a:schemeClr>
              </a:solidFill>
              <a:prstDash val="dash"/>
              <a:round/>
            </a:ln>
            <a:effectLst/>
          </c:spPr>
          <c:marker>
            <c:symbol val="circle"/>
            <c:size val="5"/>
            <c:spPr>
              <a:solidFill>
                <a:schemeClr val="accent1"/>
              </a:solidFill>
              <a:ln w="9525">
                <a:solidFill>
                  <a:schemeClr val="accent1">
                    <a:alpha val="50000"/>
                  </a:schemeClr>
                </a:solidFill>
              </a:ln>
              <a:effectLst/>
            </c:spPr>
          </c:marker>
          <c:dPt>
            <c:idx val="1"/>
            <c:marker>
              <c:symbol val="circle"/>
              <c:size val="5"/>
              <c:spPr>
                <a:solidFill>
                  <a:schemeClr val="accent1"/>
                </a:solidFill>
                <a:ln w="9525">
                  <a:solidFill>
                    <a:schemeClr val="accent1">
                      <a:alpha val="50000"/>
                    </a:schemeClr>
                  </a:solidFill>
                </a:ln>
                <a:effectLst/>
              </c:spPr>
            </c:marker>
            <c:bubble3D val="0"/>
            <c:spPr>
              <a:ln w="28575" cap="rnd">
                <a:solidFill>
                  <a:schemeClr val="accent1">
                    <a:alpha val="50000"/>
                  </a:schemeClr>
                </a:solidFill>
                <a:prstDash val="solid"/>
                <a:round/>
              </a:ln>
              <a:effectLst/>
            </c:spPr>
            <c:extLst>
              <c:ext xmlns:c16="http://schemas.microsoft.com/office/drawing/2014/chart" uri="{C3380CC4-5D6E-409C-BE32-E72D297353CC}">
                <c16:uniqueId val="{00000001-125E-4046-9F31-BA73D90C89A7}"/>
              </c:ext>
            </c:extLst>
          </c:dPt>
          <c:dPt>
            <c:idx val="2"/>
            <c:marker>
              <c:symbol val="circle"/>
              <c:size val="5"/>
              <c:spPr>
                <a:solidFill>
                  <a:schemeClr val="accent1"/>
                </a:solidFill>
                <a:ln w="9525">
                  <a:solidFill>
                    <a:schemeClr val="accent1">
                      <a:alpha val="50000"/>
                    </a:schemeClr>
                  </a:solidFill>
                </a:ln>
                <a:effectLst/>
              </c:spPr>
            </c:marker>
            <c:bubble3D val="0"/>
            <c:spPr>
              <a:ln w="28575" cap="rnd">
                <a:solidFill>
                  <a:schemeClr val="accent1">
                    <a:alpha val="50000"/>
                  </a:schemeClr>
                </a:solidFill>
                <a:prstDash val="solid"/>
                <a:round/>
              </a:ln>
              <a:effectLst/>
            </c:spPr>
            <c:extLst>
              <c:ext xmlns:c16="http://schemas.microsoft.com/office/drawing/2014/chart" uri="{C3380CC4-5D6E-409C-BE32-E72D297353CC}">
                <c16:uniqueId val="{00000003-125E-4046-9F31-BA73D90C89A7}"/>
              </c:ext>
            </c:extLst>
          </c:dPt>
          <c:cat>
            <c:strRef>
              <c:f>'Performance di Mercato'!$C$103:$I$103</c:f>
              <c:strCache>
                <c:ptCount val="7"/>
                <c:pt idx="0">
                  <c:v>P/BV 22</c:v>
                </c:pt>
                <c:pt idx="1">
                  <c:v>P/BV 23</c:v>
                </c:pt>
                <c:pt idx="2">
                  <c:v>P/BV 24</c:v>
                </c:pt>
                <c:pt idx="3">
                  <c:v>P/BV 25</c:v>
                </c:pt>
                <c:pt idx="4">
                  <c:v>P/BV 26</c:v>
                </c:pt>
                <c:pt idx="5">
                  <c:v>P/BV 27</c:v>
                </c:pt>
                <c:pt idx="6">
                  <c:v>P/BV 28</c:v>
                </c:pt>
              </c:strCache>
            </c:strRef>
          </c:cat>
          <c:val>
            <c:numRef>
              <c:f>'Performance di Mercato'!$C$104:$I$104</c:f>
              <c:numCache>
                <c:formatCode>General</c:formatCode>
                <c:ptCount val="7"/>
                <c:pt idx="0">
                  <c:v>5.0999999999999996</c:v>
                </c:pt>
                <c:pt idx="1">
                  <c:v>3.8</c:v>
                </c:pt>
                <c:pt idx="2">
                  <c:v>4.3</c:v>
                </c:pt>
                <c:pt idx="3">
                  <c:v>5</c:v>
                </c:pt>
                <c:pt idx="4">
                  <c:v>4.7</c:v>
                </c:pt>
                <c:pt idx="5">
                  <c:v>4.3</c:v>
                </c:pt>
                <c:pt idx="6">
                  <c:v>4.2</c:v>
                </c:pt>
              </c:numCache>
            </c:numRef>
          </c:val>
          <c:smooth val="0"/>
          <c:extLst>
            <c:ext xmlns:c16="http://schemas.microsoft.com/office/drawing/2014/chart" uri="{C3380CC4-5D6E-409C-BE32-E72D297353CC}">
              <c16:uniqueId val="{00000004-125E-4046-9F31-BA73D90C89A7}"/>
            </c:ext>
          </c:extLst>
        </c:ser>
        <c:ser>
          <c:idx val="1"/>
          <c:order val="1"/>
          <c:tx>
            <c:strRef>
              <c:f>'Performance di Mercato'!$A$105</c:f>
              <c:strCache>
                <c:ptCount val="1"/>
                <c:pt idx="0">
                  <c:v>Banca Generali</c:v>
                </c:pt>
              </c:strCache>
            </c:strRef>
          </c:tx>
          <c:spPr>
            <a:ln w="28575" cap="rnd">
              <a:solidFill>
                <a:schemeClr val="accent2">
                  <a:alpha val="50000"/>
                </a:schemeClr>
              </a:solidFill>
              <a:prstDash val="dash"/>
              <a:round/>
            </a:ln>
            <a:effectLst/>
          </c:spPr>
          <c:marker>
            <c:symbol val="circle"/>
            <c:size val="5"/>
            <c:spPr>
              <a:solidFill>
                <a:schemeClr val="accent2"/>
              </a:solidFill>
              <a:ln w="9525">
                <a:solidFill>
                  <a:schemeClr val="accent3">
                    <a:alpha val="50000"/>
                  </a:schemeClr>
                </a:solidFill>
              </a:ln>
              <a:effectLst/>
            </c:spPr>
          </c:marker>
          <c:dPt>
            <c:idx val="1"/>
            <c:marker>
              <c:symbol val="circle"/>
              <c:size val="5"/>
              <c:spPr>
                <a:solidFill>
                  <a:schemeClr val="accent2"/>
                </a:solidFill>
                <a:ln w="9525">
                  <a:solidFill>
                    <a:schemeClr val="accent3">
                      <a:alpha val="50000"/>
                    </a:schemeClr>
                  </a:solidFill>
                </a:ln>
                <a:effectLst/>
              </c:spPr>
            </c:marker>
            <c:bubble3D val="0"/>
            <c:spPr>
              <a:ln w="28575" cap="rnd">
                <a:solidFill>
                  <a:schemeClr val="accent2">
                    <a:alpha val="50000"/>
                  </a:schemeClr>
                </a:solidFill>
                <a:prstDash val="solid"/>
                <a:round/>
              </a:ln>
              <a:effectLst/>
            </c:spPr>
            <c:extLst>
              <c:ext xmlns:c16="http://schemas.microsoft.com/office/drawing/2014/chart" uri="{C3380CC4-5D6E-409C-BE32-E72D297353CC}">
                <c16:uniqueId val="{00000006-125E-4046-9F31-BA73D90C89A7}"/>
              </c:ext>
            </c:extLst>
          </c:dPt>
          <c:dPt>
            <c:idx val="2"/>
            <c:marker>
              <c:symbol val="circle"/>
              <c:size val="5"/>
              <c:spPr>
                <a:solidFill>
                  <a:schemeClr val="accent2"/>
                </a:solidFill>
                <a:ln w="9525">
                  <a:solidFill>
                    <a:schemeClr val="accent3">
                      <a:alpha val="50000"/>
                    </a:schemeClr>
                  </a:solidFill>
                </a:ln>
                <a:effectLst/>
              </c:spPr>
            </c:marker>
            <c:bubble3D val="0"/>
            <c:spPr>
              <a:ln w="28575" cap="rnd">
                <a:solidFill>
                  <a:schemeClr val="accent2">
                    <a:alpha val="50000"/>
                  </a:schemeClr>
                </a:solidFill>
                <a:prstDash val="solid"/>
                <a:round/>
              </a:ln>
              <a:effectLst/>
            </c:spPr>
            <c:extLst>
              <c:ext xmlns:c16="http://schemas.microsoft.com/office/drawing/2014/chart" uri="{C3380CC4-5D6E-409C-BE32-E72D297353CC}">
                <c16:uniqueId val="{00000008-125E-4046-9F31-BA73D90C89A7}"/>
              </c:ext>
            </c:extLst>
          </c:dPt>
          <c:cat>
            <c:strRef>
              <c:f>'Performance di Mercato'!$C$103:$I$103</c:f>
              <c:strCache>
                <c:ptCount val="7"/>
                <c:pt idx="0">
                  <c:v>P/BV 22</c:v>
                </c:pt>
                <c:pt idx="1">
                  <c:v>P/BV 23</c:v>
                </c:pt>
                <c:pt idx="2">
                  <c:v>P/BV 24</c:v>
                </c:pt>
                <c:pt idx="3">
                  <c:v>P/BV 25</c:v>
                </c:pt>
                <c:pt idx="4">
                  <c:v>P/BV 26</c:v>
                </c:pt>
                <c:pt idx="5">
                  <c:v>P/BV 27</c:v>
                </c:pt>
                <c:pt idx="6">
                  <c:v>P/BV 28</c:v>
                </c:pt>
              </c:strCache>
            </c:strRef>
          </c:cat>
          <c:val>
            <c:numRef>
              <c:f>'Performance di Mercato'!$C$105:$I$105</c:f>
              <c:numCache>
                <c:formatCode>General</c:formatCode>
                <c:ptCount val="7"/>
                <c:pt idx="0">
                  <c:v>3.6</c:v>
                </c:pt>
                <c:pt idx="1">
                  <c:v>3.3</c:v>
                </c:pt>
                <c:pt idx="2">
                  <c:v>3.7</c:v>
                </c:pt>
                <c:pt idx="3">
                  <c:v>3.8</c:v>
                </c:pt>
                <c:pt idx="4">
                  <c:v>3.6</c:v>
                </c:pt>
                <c:pt idx="5">
                  <c:v>3.4</c:v>
                </c:pt>
              </c:numCache>
            </c:numRef>
          </c:val>
          <c:smooth val="0"/>
          <c:extLst>
            <c:ext xmlns:c16="http://schemas.microsoft.com/office/drawing/2014/chart" uri="{C3380CC4-5D6E-409C-BE32-E72D297353CC}">
              <c16:uniqueId val="{00000009-125E-4046-9F31-BA73D90C89A7}"/>
            </c:ext>
          </c:extLst>
        </c:ser>
        <c:ser>
          <c:idx val="2"/>
          <c:order val="2"/>
          <c:tx>
            <c:strRef>
              <c:f>'Performance di Mercato'!$A$106</c:f>
              <c:strCache>
                <c:ptCount val="1"/>
                <c:pt idx="0">
                  <c:v>Banca Mediolanum</c:v>
                </c:pt>
              </c:strCache>
            </c:strRef>
          </c:tx>
          <c:spPr>
            <a:ln w="28575" cap="rnd">
              <a:solidFill>
                <a:schemeClr val="accent3">
                  <a:alpha val="50000"/>
                </a:schemeClr>
              </a:solidFill>
              <a:prstDash val="dash"/>
              <a:round/>
            </a:ln>
            <a:effectLst/>
          </c:spPr>
          <c:marker>
            <c:symbol val="circle"/>
            <c:size val="5"/>
            <c:spPr>
              <a:solidFill>
                <a:schemeClr val="accent3"/>
              </a:solidFill>
              <a:ln w="9525">
                <a:solidFill>
                  <a:schemeClr val="accent3">
                    <a:alpha val="50000"/>
                  </a:schemeClr>
                </a:solidFill>
              </a:ln>
              <a:effectLst/>
            </c:spPr>
          </c:marker>
          <c:dPt>
            <c:idx val="1"/>
            <c:marker>
              <c:symbol val="circle"/>
              <c:size val="5"/>
              <c:spPr>
                <a:solidFill>
                  <a:schemeClr val="accent3"/>
                </a:solidFill>
                <a:ln w="9525">
                  <a:solidFill>
                    <a:schemeClr val="accent3">
                      <a:alpha val="50000"/>
                    </a:schemeClr>
                  </a:solidFill>
                </a:ln>
                <a:effectLst/>
              </c:spPr>
            </c:marker>
            <c:bubble3D val="0"/>
            <c:spPr>
              <a:ln w="28575" cap="rnd">
                <a:solidFill>
                  <a:schemeClr val="accent3">
                    <a:alpha val="50000"/>
                  </a:schemeClr>
                </a:solidFill>
                <a:prstDash val="solid"/>
                <a:round/>
              </a:ln>
              <a:effectLst/>
            </c:spPr>
            <c:extLst>
              <c:ext xmlns:c16="http://schemas.microsoft.com/office/drawing/2014/chart" uri="{C3380CC4-5D6E-409C-BE32-E72D297353CC}">
                <c16:uniqueId val="{0000000B-125E-4046-9F31-BA73D90C89A7}"/>
              </c:ext>
            </c:extLst>
          </c:dPt>
          <c:dPt>
            <c:idx val="2"/>
            <c:marker>
              <c:symbol val="circle"/>
              <c:size val="5"/>
              <c:spPr>
                <a:solidFill>
                  <a:schemeClr val="accent3"/>
                </a:solidFill>
                <a:ln w="9525">
                  <a:solidFill>
                    <a:schemeClr val="accent3">
                      <a:alpha val="50000"/>
                    </a:schemeClr>
                  </a:solidFill>
                </a:ln>
                <a:effectLst/>
              </c:spPr>
            </c:marker>
            <c:bubble3D val="0"/>
            <c:spPr>
              <a:ln w="28575" cap="rnd">
                <a:solidFill>
                  <a:schemeClr val="accent3">
                    <a:alpha val="50000"/>
                  </a:schemeClr>
                </a:solidFill>
                <a:prstDash val="solid"/>
                <a:round/>
              </a:ln>
              <a:effectLst/>
            </c:spPr>
            <c:extLst>
              <c:ext xmlns:c16="http://schemas.microsoft.com/office/drawing/2014/chart" uri="{C3380CC4-5D6E-409C-BE32-E72D297353CC}">
                <c16:uniqueId val="{0000000D-125E-4046-9F31-BA73D90C89A7}"/>
              </c:ext>
            </c:extLst>
          </c:dPt>
          <c:cat>
            <c:strRef>
              <c:f>'Performance di Mercato'!$C$103:$I$103</c:f>
              <c:strCache>
                <c:ptCount val="7"/>
                <c:pt idx="0">
                  <c:v>P/BV 22</c:v>
                </c:pt>
                <c:pt idx="1">
                  <c:v>P/BV 23</c:v>
                </c:pt>
                <c:pt idx="2">
                  <c:v>P/BV 24</c:v>
                </c:pt>
                <c:pt idx="3">
                  <c:v>P/BV 25</c:v>
                </c:pt>
                <c:pt idx="4">
                  <c:v>P/BV 26</c:v>
                </c:pt>
                <c:pt idx="5">
                  <c:v>P/BV 27</c:v>
                </c:pt>
                <c:pt idx="6">
                  <c:v>P/BV 28</c:v>
                </c:pt>
              </c:strCache>
            </c:strRef>
          </c:cat>
          <c:val>
            <c:numRef>
              <c:f>'Performance di Mercato'!$C$106:$I$106</c:f>
              <c:numCache>
                <c:formatCode>General</c:formatCode>
                <c:ptCount val="7"/>
                <c:pt idx="0">
                  <c:v>2</c:v>
                </c:pt>
                <c:pt idx="1">
                  <c:v>1.8</c:v>
                </c:pt>
                <c:pt idx="2">
                  <c:v>2.1</c:v>
                </c:pt>
                <c:pt idx="3">
                  <c:v>2.8</c:v>
                </c:pt>
                <c:pt idx="4">
                  <c:v>2.6</c:v>
                </c:pt>
                <c:pt idx="5">
                  <c:v>2.2000000000000002</c:v>
                </c:pt>
              </c:numCache>
            </c:numRef>
          </c:val>
          <c:smooth val="0"/>
          <c:extLst>
            <c:ext xmlns:c16="http://schemas.microsoft.com/office/drawing/2014/chart" uri="{C3380CC4-5D6E-409C-BE32-E72D297353CC}">
              <c16:uniqueId val="{0000000E-125E-4046-9F31-BA73D90C89A7}"/>
            </c:ext>
          </c:extLst>
        </c:ser>
        <c:ser>
          <c:idx val="3"/>
          <c:order val="3"/>
          <c:tx>
            <c:strRef>
              <c:f>'Performance di Mercato'!$A$107</c:f>
              <c:strCache>
                <c:ptCount val="1"/>
                <c:pt idx="0">
                  <c:v>Mediobanca</c:v>
                </c:pt>
              </c:strCache>
            </c:strRef>
          </c:tx>
          <c:spPr>
            <a:ln w="41275" cap="rnd">
              <a:solidFill>
                <a:schemeClr val="accent4"/>
              </a:solidFill>
              <a:prstDash val="dash"/>
              <a:round/>
            </a:ln>
            <a:effectLst/>
          </c:spPr>
          <c:marker>
            <c:symbol val="circle"/>
            <c:size val="5"/>
            <c:spPr>
              <a:solidFill>
                <a:schemeClr val="accent4"/>
              </a:solidFill>
              <a:ln w="9525">
                <a:solidFill>
                  <a:schemeClr val="accent4"/>
                </a:solidFill>
              </a:ln>
              <a:effectLst/>
            </c:spPr>
          </c:marker>
          <c:dPt>
            <c:idx val="1"/>
            <c:marker>
              <c:symbol val="circle"/>
              <c:size val="5"/>
              <c:spPr>
                <a:solidFill>
                  <a:schemeClr val="accent4"/>
                </a:solidFill>
                <a:ln w="9525">
                  <a:solidFill>
                    <a:schemeClr val="accent4"/>
                  </a:solidFill>
                </a:ln>
                <a:effectLst/>
              </c:spPr>
            </c:marker>
            <c:bubble3D val="0"/>
            <c:spPr>
              <a:ln w="41275" cap="rnd">
                <a:solidFill>
                  <a:srgbClr val="8064A2"/>
                </a:solidFill>
                <a:prstDash val="solid"/>
                <a:round/>
              </a:ln>
              <a:effectLst/>
            </c:spPr>
            <c:extLst>
              <c:ext xmlns:c16="http://schemas.microsoft.com/office/drawing/2014/chart" uri="{C3380CC4-5D6E-409C-BE32-E72D297353CC}">
                <c16:uniqueId val="{00000010-125E-4046-9F31-BA73D90C89A7}"/>
              </c:ext>
            </c:extLst>
          </c:dPt>
          <c:dPt>
            <c:idx val="2"/>
            <c:marker>
              <c:symbol val="circle"/>
              <c:size val="5"/>
              <c:spPr>
                <a:solidFill>
                  <a:schemeClr val="accent4"/>
                </a:solidFill>
                <a:ln w="9525">
                  <a:solidFill>
                    <a:schemeClr val="accent4"/>
                  </a:solidFill>
                </a:ln>
                <a:effectLst/>
              </c:spPr>
            </c:marker>
            <c:bubble3D val="0"/>
            <c:spPr>
              <a:ln w="41275" cap="rnd">
                <a:solidFill>
                  <a:srgbClr val="8064A2"/>
                </a:solidFill>
                <a:prstDash val="solid"/>
                <a:round/>
              </a:ln>
              <a:effectLst/>
            </c:spPr>
            <c:extLst>
              <c:ext xmlns:c16="http://schemas.microsoft.com/office/drawing/2014/chart" uri="{C3380CC4-5D6E-409C-BE32-E72D297353CC}">
                <c16:uniqueId val="{00000012-125E-4046-9F31-BA73D90C89A7}"/>
              </c:ext>
            </c:extLst>
          </c:dPt>
          <c:dLbls>
            <c:dLbl>
              <c:idx val="0"/>
              <c:delete val="1"/>
              <c:extLst>
                <c:ext xmlns:c15="http://schemas.microsoft.com/office/drawing/2012/chart" uri="{CE6537A1-D6FC-4f65-9D91-7224C49458BB}"/>
                <c:ext xmlns:c16="http://schemas.microsoft.com/office/drawing/2014/chart" uri="{C3380CC4-5D6E-409C-BE32-E72D297353CC}">
                  <c16:uniqueId val="{00000013-125E-4046-9F31-BA73D90C89A7}"/>
                </c:ext>
              </c:extLst>
            </c:dLbl>
            <c:dLbl>
              <c:idx val="1"/>
              <c:delete val="1"/>
              <c:extLst>
                <c:ext xmlns:c15="http://schemas.microsoft.com/office/drawing/2012/chart" uri="{CE6537A1-D6FC-4f65-9D91-7224C49458BB}"/>
                <c:ext xmlns:c16="http://schemas.microsoft.com/office/drawing/2014/chart" uri="{C3380CC4-5D6E-409C-BE32-E72D297353CC}">
                  <c16:uniqueId val="{00000010-125E-4046-9F31-BA73D90C89A7}"/>
                </c:ext>
              </c:extLst>
            </c:dLbl>
            <c:dLbl>
              <c:idx val="2"/>
              <c:layout>
                <c:manualLayout>
                  <c:x val="-4.2824516259996705E-2"/>
                  <c:y val="-3.1765962396104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25E-4046-9F31-BA73D90C89A7}"/>
                </c:ext>
              </c:extLst>
            </c:dLbl>
            <c:dLbl>
              <c:idx val="3"/>
              <c:delete val="1"/>
              <c:extLst>
                <c:ext xmlns:c15="http://schemas.microsoft.com/office/drawing/2012/chart" uri="{CE6537A1-D6FC-4f65-9D91-7224C49458BB}"/>
                <c:ext xmlns:c16="http://schemas.microsoft.com/office/drawing/2014/chart" uri="{C3380CC4-5D6E-409C-BE32-E72D297353CC}">
                  <c16:uniqueId val="{00000014-125E-4046-9F31-BA73D90C89A7}"/>
                </c:ext>
              </c:extLst>
            </c:dLbl>
            <c:dLbl>
              <c:idx val="4"/>
              <c:delete val="1"/>
              <c:extLst>
                <c:ext xmlns:c15="http://schemas.microsoft.com/office/drawing/2012/chart" uri="{CE6537A1-D6FC-4f65-9D91-7224C49458BB}"/>
                <c:ext xmlns:c16="http://schemas.microsoft.com/office/drawing/2014/chart" uri="{C3380CC4-5D6E-409C-BE32-E72D297353CC}">
                  <c16:uniqueId val="{00000015-125E-4046-9F31-BA73D90C89A7}"/>
                </c:ext>
              </c:extLst>
            </c:dLbl>
            <c:dLbl>
              <c:idx val="5"/>
              <c:delete val="1"/>
              <c:extLst>
                <c:ext xmlns:c15="http://schemas.microsoft.com/office/drawing/2012/chart" uri="{CE6537A1-D6FC-4f65-9D91-7224C49458BB}"/>
                <c:ext xmlns:c16="http://schemas.microsoft.com/office/drawing/2014/chart" uri="{C3380CC4-5D6E-409C-BE32-E72D297353CC}">
                  <c16:uniqueId val="{00000016-125E-4046-9F31-BA73D90C89A7}"/>
                </c:ext>
              </c:extLst>
            </c:dLbl>
            <c:dLbl>
              <c:idx val="6"/>
              <c:delete val="1"/>
              <c:extLst>
                <c:ext xmlns:c15="http://schemas.microsoft.com/office/drawing/2012/chart" uri="{CE6537A1-D6FC-4f65-9D91-7224C49458BB}"/>
                <c:ext xmlns:c16="http://schemas.microsoft.com/office/drawing/2014/chart" uri="{C3380CC4-5D6E-409C-BE32-E72D297353CC}">
                  <c16:uniqueId val="{00000017-125E-4046-9F31-BA73D90C89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di Mercato'!$C$103:$I$103</c:f>
              <c:strCache>
                <c:ptCount val="7"/>
                <c:pt idx="0">
                  <c:v>P/BV 22</c:v>
                </c:pt>
                <c:pt idx="1">
                  <c:v>P/BV 23</c:v>
                </c:pt>
                <c:pt idx="2">
                  <c:v>P/BV 24</c:v>
                </c:pt>
                <c:pt idx="3">
                  <c:v>P/BV 25</c:v>
                </c:pt>
                <c:pt idx="4">
                  <c:v>P/BV 26</c:v>
                </c:pt>
                <c:pt idx="5">
                  <c:v>P/BV 27</c:v>
                </c:pt>
                <c:pt idx="6">
                  <c:v>P/BV 28</c:v>
                </c:pt>
              </c:strCache>
            </c:strRef>
          </c:cat>
          <c:val>
            <c:numRef>
              <c:f>'Performance di Mercato'!$C$107:$I$107</c:f>
              <c:numCache>
                <c:formatCode>General</c:formatCode>
                <c:ptCount val="7"/>
                <c:pt idx="0">
                  <c:v>0.7</c:v>
                </c:pt>
                <c:pt idx="1">
                  <c:v>0.8</c:v>
                </c:pt>
                <c:pt idx="2">
                  <c:v>1</c:v>
                </c:pt>
                <c:pt idx="3">
                  <c:v>1.4</c:v>
                </c:pt>
                <c:pt idx="4">
                  <c:v>1.4</c:v>
                </c:pt>
                <c:pt idx="5">
                  <c:v>1.3</c:v>
                </c:pt>
                <c:pt idx="6">
                  <c:v>1.3</c:v>
                </c:pt>
              </c:numCache>
            </c:numRef>
          </c:val>
          <c:smooth val="0"/>
          <c:extLst>
            <c:ext xmlns:c16="http://schemas.microsoft.com/office/drawing/2014/chart" uri="{C3380CC4-5D6E-409C-BE32-E72D297353CC}">
              <c16:uniqueId val="{00000018-125E-4046-9F31-BA73D90C89A7}"/>
            </c:ext>
          </c:extLst>
        </c:ser>
        <c:ser>
          <c:idx val="4"/>
          <c:order val="4"/>
          <c:tx>
            <c:strRef>
              <c:f>'Performance di Mercato'!$A$108</c:f>
              <c:strCache>
                <c:ptCount val="1"/>
                <c:pt idx="0">
                  <c:v>Intesa SanPaolo</c:v>
                </c:pt>
              </c:strCache>
            </c:strRef>
          </c:tx>
          <c:spPr>
            <a:ln w="28575" cap="rnd">
              <a:solidFill>
                <a:schemeClr val="accent5">
                  <a:alpha val="50000"/>
                </a:schemeClr>
              </a:solidFill>
              <a:prstDash val="dash"/>
              <a:round/>
            </a:ln>
            <a:effectLst/>
          </c:spPr>
          <c:marker>
            <c:symbol val="circle"/>
            <c:size val="5"/>
            <c:spPr>
              <a:solidFill>
                <a:schemeClr val="accent5"/>
              </a:solidFill>
              <a:ln w="9525">
                <a:solidFill>
                  <a:schemeClr val="accent5">
                    <a:alpha val="50000"/>
                  </a:schemeClr>
                </a:solidFill>
              </a:ln>
              <a:effectLst/>
            </c:spPr>
          </c:marker>
          <c:dPt>
            <c:idx val="1"/>
            <c:marker>
              <c:symbol val="circle"/>
              <c:size val="5"/>
              <c:spPr>
                <a:solidFill>
                  <a:schemeClr val="accent5"/>
                </a:solidFill>
                <a:ln w="9525">
                  <a:solidFill>
                    <a:schemeClr val="accent5">
                      <a:alpha val="50000"/>
                    </a:schemeClr>
                  </a:solidFill>
                </a:ln>
                <a:effectLst/>
              </c:spPr>
            </c:marker>
            <c:bubble3D val="0"/>
            <c:spPr>
              <a:ln w="28575" cap="rnd">
                <a:solidFill>
                  <a:schemeClr val="accent5">
                    <a:alpha val="50000"/>
                  </a:schemeClr>
                </a:solidFill>
                <a:prstDash val="solid"/>
                <a:round/>
              </a:ln>
              <a:effectLst/>
            </c:spPr>
            <c:extLst>
              <c:ext xmlns:c16="http://schemas.microsoft.com/office/drawing/2014/chart" uri="{C3380CC4-5D6E-409C-BE32-E72D297353CC}">
                <c16:uniqueId val="{0000001A-125E-4046-9F31-BA73D90C89A7}"/>
              </c:ext>
            </c:extLst>
          </c:dPt>
          <c:dPt>
            <c:idx val="2"/>
            <c:marker>
              <c:symbol val="circle"/>
              <c:size val="5"/>
              <c:spPr>
                <a:solidFill>
                  <a:schemeClr val="accent5"/>
                </a:solidFill>
                <a:ln w="9525">
                  <a:solidFill>
                    <a:schemeClr val="accent5">
                      <a:alpha val="50000"/>
                    </a:schemeClr>
                  </a:solidFill>
                </a:ln>
                <a:effectLst/>
              </c:spPr>
            </c:marker>
            <c:bubble3D val="0"/>
            <c:spPr>
              <a:ln w="28575" cap="rnd">
                <a:solidFill>
                  <a:schemeClr val="accent5">
                    <a:alpha val="50000"/>
                  </a:schemeClr>
                </a:solidFill>
                <a:prstDash val="solid"/>
                <a:round/>
              </a:ln>
              <a:effectLst/>
            </c:spPr>
            <c:extLst>
              <c:ext xmlns:c16="http://schemas.microsoft.com/office/drawing/2014/chart" uri="{C3380CC4-5D6E-409C-BE32-E72D297353CC}">
                <c16:uniqueId val="{0000001C-125E-4046-9F31-BA73D90C89A7}"/>
              </c:ext>
            </c:extLst>
          </c:dPt>
          <c:cat>
            <c:strRef>
              <c:f>'Performance di Mercato'!$C$103:$I$103</c:f>
              <c:strCache>
                <c:ptCount val="7"/>
                <c:pt idx="0">
                  <c:v>P/BV 22</c:v>
                </c:pt>
                <c:pt idx="1">
                  <c:v>P/BV 23</c:v>
                </c:pt>
                <c:pt idx="2">
                  <c:v>P/BV 24</c:v>
                </c:pt>
                <c:pt idx="3">
                  <c:v>P/BV 25</c:v>
                </c:pt>
                <c:pt idx="4">
                  <c:v>P/BV 26</c:v>
                </c:pt>
                <c:pt idx="5">
                  <c:v>P/BV 27</c:v>
                </c:pt>
                <c:pt idx="6">
                  <c:v>P/BV 28</c:v>
                </c:pt>
              </c:strCache>
            </c:strRef>
          </c:cat>
          <c:val>
            <c:numRef>
              <c:f>'Performance di Mercato'!$C$108:$I$108</c:f>
              <c:numCache>
                <c:formatCode>General</c:formatCode>
                <c:ptCount val="7"/>
                <c:pt idx="0">
                  <c:v>0.7</c:v>
                </c:pt>
                <c:pt idx="1">
                  <c:v>0.8</c:v>
                </c:pt>
                <c:pt idx="2">
                  <c:v>1.2</c:v>
                </c:pt>
                <c:pt idx="3">
                  <c:v>1.4</c:v>
                </c:pt>
                <c:pt idx="4">
                  <c:v>1.3</c:v>
                </c:pt>
                <c:pt idx="5">
                  <c:v>1.3</c:v>
                </c:pt>
                <c:pt idx="6">
                  <c:v>1.4</c:v>
                </c:pt>
              </c:numCache>
            </c:numRef>
          </c:val>
          <c:smooth val="0"/>
          <c:extLst>
            <c:ext xmlns:c16="http://schemas.microsoft.com/office/drawing/2014/chart" uri="{C3380CC4-5D6E-409C-BE32-E72D297353CC}">
              <c16:uniqueId val="{0000001D-125E-4046-9F31-BA73D90C89A7}"/>
            </c:ext>
          </c:extLst>
        </c:ser>
        <c:ser>
          <c:idx val="5"/>
          <c:order val="5"/>
          <c:tx>
            <c:strRef>
              <c:f>'Performance di Mercato'!$A$109</c:f>
              <c:strCache>
                <c:ptCount val="1"/>
                <c:pt idx="0">
                  <c:v>Unicredit</c:v>
                </c:pt>
              </c:strCache>
            </c:strRef>
          </c:tx>
          <c:spPr>
            <a:ln w="28575" cap="rnd">
              <a:solidFill>
                <a:schemeClr val="accent6">
                  <a:alpha val="50000"/>
                </a:schemeClr>
              </a:solidFill>
              <a:prstDash val="dash"/>
              <a:round/>
            </a:ln>
            <a:effectLst/>
          </c:spPr>
          <c:marker>
            <c:symbol val="circle"/>
            <c:size val="5"/>
            <c:spPr>
              <a:solidFill>
                <a:schemeClr val="accent6"/>
              </a:solidFill>
              <a:ln w="9525">
                <a:solidFill>
                  <a:schemeClr val="accent6">
                    <a:alpha val="50000"/>
                  </a:schemeClr>
                </a:solidFill>
              </a:ln>
              <a:effectLst/>
            </c:spPr>
          </c:marker>
          <c:dPt>
            <c:idx val="1"/>
            <c:marker>
              <c:symbol val="circle"/>
              <c:size val="5"/>
              <c:spPr>
                <a:solidFill>
                  <a:schemeClr val="accent6"/>
                </a:solidFill>
                <a:ln w="9525">
                  <a:solidFill>
                    <a:schemeClr val="accent6">
                      <a:alpha val="50000"/>
                    </a:schemeClr>
                  </a:solidFill>
                </a:ln>
                <a:effectLst/>
              </c:spPr>
            </c:marker>
            <c:bubble3D val="0"/>
            <c:spPr>
              <a:ln w="28575" cap="rnd">
                <a:solidFill>
                  <a:schemeClr val="accent6">
                    <a:alpha val="50000"/>
                  </a:schemeClr>
                </a:solidFill>
                <a:prstDash val="solid"/>
                <a:round/>
              </a:ln>
              <a:effectLst/>
            </c:spPr>
            <c:extLst>
              <c:ext xmlns:c16="http://schemas.microsoft.com/office/drawing/2014/chart" uri="{C3380CC4-5D6E-409C-BE32-E72D297353CC}">
                <c16:uniqueId val="{0000001F-125E-4046-9F31-BA73D90C89A7}"/>
              </c:ext>
            </c:extLst>
          </c:dPt>
          <c:dPt>
            <c:idx val="2"/>
            <c:marker>
              <c:symbol val="circle"/>
              <c:size val="5"/>
              <c:spPr>
                <a:solidFill>
                  <a:schemeClr val="accent6"/>
                </a:solidFill>
                <a:ln w="9525">
                  <a:solidFill>
                    <a:schemeClr val="accent6">
                      <a:alpha val="50000"/>
                    </a:schemeClr>
                  </a:solidFill>
                </a:ln>
                <a:effectLst/>
              </c:spPr>
            </c:marker>
            <c:bubble3D val="0"/>
            <c:spPr>
              <a:ln w="28575" cap="rnd">
                <a:solidFill>
                  <a:schemeClr val="accent6">
                    <a:alpha val="50000"/>
                  </a:schemeClr>
                </a:solidFill>
                <a:prstDash val="solid"/>
                <a:round/>
              </a:ln>
              <a:effectLst/>
            </c:spPr>
            <c:extLst>
              <c:ext xmlns:c16="http://schemas.microsoft.com/office/drawing/2014/chart" uri="{C3380CC4-5D6E-409C-BE32-E72D297353CC}">
                <c16:uniqueId val="{00000021-125E-4046-9F31-BA73D90C89A7}"/>
              </c:ext>
            </c:extLst>
          </c:dPt>
          <c:cat>
            <c:strRef>
              <c:f>'Performance di Mercato'!$C$103:$I$103</c:f>
              <c:strCache>
                <c:ptCount val="7"/>
                <c:pt idx="0">
                  <c:v>P/BV 22</c:v>
                </c:pt>
                <c:pt idx="1">
                  <c:v>P/BV 23</c:v>
                </c:pt>
                <c:pt idx="2">
                  <c:v>P/BV 24</c:v>
                </c:pt>
                <c:pt idx="3">
                  <c:v>P/BV 25</c:v>
                </c:pt>
                <c:pt idx="4">
                  <c:v>P/BV 26</c:v>
                </c:pt>
                <c:pt idx="5">
                  <c:v>P/BV 27</c:v>
                </c:pt>
                <c:pt idx="6">
                  <c:v>P/BV 28</c:v>
                </c:pt>
              </c:strCache>
            </c:strRef>
          </c:cat>
          <c:val>
            <c:numRef>
              <c:f>'Performance di Mercato'!$C$109:$I$109</c:f>
              <c:numCache>
                <c:formatCode>General</c:formatCode>
                <c:ptCount val="7"/>
                <c:pt idx="0">
                  <c:v>0.4</c:v>
                </c:pt>
                <c:pt idx="1">
                  <c:v>0.7</c:v>
                </c:pt>
                <c:pt idx="2">
                  <c:v>1</c:v>
                </c:pt>
                <c:pt idx="3">
                  <c:v>1.4</c:v>
                </c:pt>
                <c:pt idx="4">
                  <c:v>1.3</c:v>
                </c:pt>
                <c:pt idx="5">
                  <c:v>1.2</c:v>
                </c:pt>
                <c:pt idx="6">
                  <c:v>1</c:v>
                </c:pt>
              </c:numCache>
            </c:numRef>
          </c:val>
          <c:smooth val="0"/>
          <c:extLst>
            <c:ext xmlns:c16="http://schemas.microsoft.com/office/drawing/2014/chart" uri="{C3380CC4-5D6E-409C-BE32-E72D297353CC}">
              <c16:uniqueId val="{00000022-125E-4046-9F31-BA73D90C89A7}"/>
            </c:ext>
          </c:extLst>
        </c:ser>
        <c:ser>
          <c:idx val="6"/>
          <c:order val="6"/>
          <c:tx>
            <c:strRef>
              <c:f>'Performance di Mercato'!$A$110</c:f>
              <c:strCache>
                <c:ptCount val="1"/>
                <c:pt idx="0">
                  <c:v>Banco BPM</c:v>
                </c:pt>
              </c:strCache>
            </c:strRef>
          </c:tx>
          <c:spPr>
            <a:ln w="28575" cap="rnd">
              <a:solidFill>
                <a:schemeClr val="accent1">
                  <a:lumMod val="60000"/>
                  <a:alpha val="50000"/>
                </a:schemeClr>
              </a:solidFill>
              <a:prstDash val="dash"/>
              <a:round/>
            </a:ln>
            <a:effectLst/>
          </c:spPr>
          <c:marker>
            <c:symbol val="circle"/>
            <c:size val="5"/>
            <c:spPr>
              <a:solidFill>
                <a:schemeClr val="accent1">
                  <a:lumMod val="60000"/>
                </a:schemeClr>
              </a:solidFill>
              <a:ln w="9525">
                <a:solidFill>
                  <a:schemeClr val="accent1">
                    <a:lumMod val="60000"/>
                    <a:alpha val="50000"/>
                  </a:schemeClr>
                </a:solidFill>
              </a:ln>
              <a:effectLst/>
            </c:spPr>
          </c:marker>
          <c:dPt>
            <c:idx val="1"/>
            <c:marker>
              <c:symbol val="circle"/>
              <c:size val="5"/>
              <c:spPr>
                <a:solidFill>
                  <a:schemeClr val="accent1">
                    <a:lumMod val="60000"/>
                  </a:schemeClr>
                </a:solidFill>
                <a:ln w="9525">
                  <a:solidFill>
                    <a:schemeClr val="accent1">
                      <a:lumMod val="60000"/>
                      <a:alpha val="50000"/>
                    </a:schemeClr>
                  </a:solidFill>
                </a:ln>
                <a:effectLst/>
              </c:spPr>
            </c:marker>
            <c:bubble3D val="0"/>
            <c:spPr>
              <a:ln w="28575" cap="rnd">
                <a:solidFill>
                  <a:schemeClr val="accent1">
                    <a:lumMod val="60000"/>
                    <a:alpha val="50000"/>
                  </a:schemeClr>
                </a:solidFill>
                <a:prstDash val="solid"/>
                <a:round/>
              </a:ln>
              <a:effectLst/>
            </c:spPr>
            <c:extLst>
              <c:ext xmlns:c16="http://schemas.microsoft.com/office/drawing/2014/chart" uri="{C3380CC4-5D6E-409C-BE32-E72D297353CC}">
                <c16:uniqueId val="{00000024-125E-4046-9F31-BA73D90C89A7}"/>
              </c:ext>
            </c:extLst>
          </c:dPt>
          <c:dPt>
            <c:idx val="2"/>
            <c:marker>
              <c:symbol val="circle"/>
              <c:size val="5"/>
              <c:spPr>
                <a:solidFill>
                  <a:schemeClr val="accent1">
                    <a:lumMod val="60000"/>
                  </a:schemeClr>
                </a:solidFill>
                <a:ln w="9525">
                  <a:solidFill>
                    <a:schemeClr val="accent1">
                      <a:lumMod val="60000"/>
                      <a:alpha val="50000"/>
                    </a:schemeClr>
                  </a:solidFill>
                </a:ln>
                <a:effectLst/>
              </c:spPr>
            </c:marker>
            <c:bubble3D val="0"/>
            <c:spPr>
              <a:ln w="28575" cap="rnd">
                <a:solidFill>
                  <a:schemeClr val="accent1">
                    <a:lumMod val="60000"/>
                    <a:alpha val="50000"/>
                  </a:schemeClr>
                </a:solidFill>
                <a:prstDash val="solid"/>
                <a:round/>
              </a:ln>
              <a:effectLst/>
            </c:spPr>
            <c:extLst>
              <c:ext xmlns:c16="http://schemas.microsoft.com/office/drawing/2014/chart" uri="{C3380CC4-5D6E-409C-BE32-E72D297353CC}">
                <c16:uniqueId val="{00000026-125E-4046-9F31-BA73D90C89A7}"/>
              </c:ext>
            </c:extLst>
          </c:dPt>
          <c:cat>
            <c:strRef>
              <c:f>'Performance di Mercato'!$C$103:$I$103</c:f>
              <c:strCache>
                <c:ptCount val="7"/>
                <c:pt idx="0">
                  <c:v>P/BV 22</c:v>
                </c:pt>
                <c:pt idx="1">
                  <c:v>P/BV 23</c:v>
                </c:pt>
                <c:pt idx="2">
                  <c:v>P/BV 24</c:v>
                </c:pt>
                <c:pt idx="3">
                  <c:v>P/BV 25</c:v>
                </c:pt>
                <c:pt idx="4">
                  <c:v>P/BV 26</c:v>
                </c:pt>
                <c:pt idx="5">
                  <c:v>P/BV 27</c:v>
                </c:pt>
                <c:pt idx="6">
                  <c:v>P/BV 28</c:v>
                </c:pt>
              </c:strCache>
            </c:strRef>
          </c:cat>
          <c:val>
            <c:numRef>
              <c:f>'Performance di Mercato'!$C$110:$I$110</c:f>
              <c:numCache>
                <c:formatCode>General</c:formatCode>
                <c:ptCount val="7"/>
                <c:pt idx="0">
                  <c:v>0.4</c:v>
                </c:pt>
                <c:pt idx="1">
                  <c:v>0.6</c:v>
                </c:pt>
                <c:pt idx="2">
                  <c:v>0.9</c:v>
                </c:pt>
                <c:pt idx="3">
                  <c:v>1.1000000000000001</c:v>
                </c:pt>
                <c:pt idx="4">
                  <c:v>1.1000000000000001</c:v>
                </c:pt>
                <c:pt idx="5">
                  <c:v>1.1000000000000001</c:v>
                </c:pt>
                <c:pt idx="6">
                  <c:v>1</c:v>
                </c:pt>
              </c:numCache>
            </c:numRef>
          </c:val>
          <c:smooth val="0"/>
          <c:extLst>
            <c:ext xmlns:c16="http://schemas.microsoft.com/office/drawing/2014/chart" uri="{C3380CC4-5D6E-409C-BE32-E72D297353CC}">
              <c16:uniqueId val="{00000027-125E-4046-9F31-BA73D90C89A7}"/>
            </c:ext>
          </c:extLst>
        </c:ser>
        <c:dLbls>
          <c:showLegendKey val="0"/>
          <c:showVal val="0"/>
          <c:showCatName val="0"/>
          <c:showSerName val="0"/>
          <c:showPercent val="0"/>
          <c:showBubbleSize val="0"/>
        </c:dLbls>
        <c:marker val="1"/>
        <c:smooth val="0"/>
        <c:axId val="462768832"/>
        <c:axId val="462777472"/>
      </c:lineChart>
      <c:catAx>
        <c:axId val="46276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62777472"/>
        <c:crosses val="autoZero"/>
        <c:auto val="1"/>
        <c:lblAlgn val="ctr"/>
        <c:lblOffset val="100"/>
        <c:noMultiLvlLbl val="0"/>
      </c:catAx>
      <c:valAx>
        <c:axId val="46277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62768832"/>
        <c:crosses val="autoZero"/>
        <c:crossBetween val="between"/>
      </c:valAx>
      <c:spPr>
        <a:noFill/>
        <a:ln>
          <a:noFill/>
        </a:ln>
        <a:effectLst/>
      </c:spPr>
    </c:plotArea>
    <c:legend>
      <c:legendPos val="b"/>
      <c:layout>
        <c:manualLayout>
          <c:xMode val="edge"/>
          <c:yMode val="edge"/>
          <c:x val="2.737963824506371E-2"/>
          <c:y val="0.85374401273189238"/>
          <c:w val="0.94330875361398236"/>
          <c:h val="0.123314013300925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it-IT" baseline="0">
                <a:solidFill>
                  <a:srgbClr val="002060"/>
                </a:solidFill>
              </a:rPr>
              <a:t>P/E 2022</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5E7-2842-9BEF-D3C3B6EFA9EE}"/>
              </c:ext>
            </c:extLst>
          </c:dPt>
          <c:dPt>
            <c:idx val="1"/>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5E7-2842-9BEF-D3C3B6EFA9EE}"/>
              </c:ext>
            </c:extLst>
          </c:dPt>
          <c:dPt>
            <c:idx val="2"/>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5E7-2842-9BEF-D3C3B6EFA9EE}"/>
              </c:ext>
            </c:extLst>
          </c:dPt>
          <c:dPt>
            <c:idx val="3"/>
            <c:invertIfNegative val="0"/>
            <c:bubble3D val="0"/>
            <c:spPr>
              <a:solidFill>
                <a:srgbClr val="DAEEF3"/>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5E7-2842-9BEF-D3C3B6EFA9EE}"/>
              </c:ext>
            </c:extLst>
          </c:dPt>
          <c:dPt>
            <c:idx val="4"/>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5E7-2842-9BEF-D3C3B6EFA9EE}"/>
              </c:ext>
            </c:extLst>
          </c:dPt>
          <c:dPt>
            <c:idx val="5"/>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5E7-2842-9BEF-D3C3B6EFA9EE}"/>
              </c:ext>
            </c:extLst>
          </c:dPt>
          <c:dPt>
            <c:idx val="6"/>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5E7-2842-9BEF-D3C3B6EFA9EE}"/>
              </c:ext>
            </c:extLst>
          </c:dPt>
          <c:dLbls>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it-IT"/>
                </a:p>
              </c:txPr>
              <c:dLblPos val="outEnd"/>
              <c:showLegendKey val="0"/>
              <c:showVal val="1"/>
              <c:showCatName val="0"/>
              <c:showSerName val="0"/>
              <c:showPercent val="0"/>
              <c:showBubbleSize val="0"/>
              <c:extLst>
                <c:ext xmlns:c16="http://schemas.microsoft.com/office/drawing/2014/chart" uri="{C3380CC4-5D6E-409C-BE32-E72D297353CC}">
                  <c16:uniqueId val="{00000007-A5E7-2842-9BEF-D3C3B6EFA9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di Mercato'!$A$57:$A$63</c:f>
              <c:strCache>
                <c:ptCount val="7"/>
                <c:pt idx="0">
                  <c:v>FinecoBank</c:v>
                </c:pt>
                <c:pt idx="1">
                  <c:v>Banca Generali</c:v>
                </c:pt>
                <c:pt idx="2">
                  <c:v>Mediolanum</c:v>
                </c:pt>
                <c:pt idx="3">
                  <c:v>Mediobanca</c:v>
                </c:pt>
                <c:pt idx="4">
                  <c:v>Intesa </c:v>
                </c:pt>
                <c:pt idx="5">
                  <c:v>Unicredit</c:v>
                </c:pt>
                <c:pt idx="6">
                  <c:v>Banco BPM</c:v>
                </c:pt>
              </c:strCache>
            </c:strRef>
          </c:cat>
          <c:val>
            <c:numRef>
              <c:f>'Performance di Mercato'!$C$57:$C$63</c:f>
              <c:numCache>
                <c:formatCode>General</c:formatCode>
                <c:ptCount val="7"/>
                <c:pt idx="0">
                  <c:v>23.1</c:v>
                </c:pt>
                <c:pt idx="1">
                  <c:v>15.1</c:v>
                </c:pt>
                <c:pt idx="2">
                  <c:v>11</c:v>
                </c:pt>
                <c:pt idx="3">
                  <c:v>7.9</c:v>
                </c:pt>
                <c:pt idx="4">
                  <c:v>9</c:v>
                </c:pt>
                <c:pt idx="5">
                  <c:v>5.3</c:v>
                </c:pt>
                <c:pt idx="6">
                  <c:v>7.2</c:v>
                </c:pt>
              </c:numCache>
            </c:numRef>
          </c:val>
          <c:extLst>
            <c:ext xmlns:c16="http://schemas.microsoft.com/office/drawing/2014/chart" uri="{C3380CC4-5D6E-409C-BE32-E72D297353CC}">
              <c16:uniqueId val="{0000000E-A5E7-2842-9BEF-D3C3B6EFA9EE}"/>
            </c:ext>
          </c:extLst>
        </c:ser>
        <c:dLbls>
          <c:dLblPos val="outEnd"/>
          <c:showLegendKey val="0"/>
          <c:showVal val="1"/>
          <c:showCatName val="0"/>
          <c:showSerName val="0"/>
          <c:showPercent val="0"/>
          <c:showBubbleSize val="0"/>
        </c:dLbls>
        <c:gapWidth val="100"/>
        <c:overlap val="-24"/>
        <c:axId val="1850889663"/>
        <c:axId val="1850889183"/>
      </c:barChart>
      <c:catAx>
        <c:axId val="1850889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it-IT"/>
          </a:p>
        </c:txPr>
        <c:crossAx val="1850889183"/>
        <c:crosses val="autoZero"/>
        <c:auto val="1"/>
        <c:lblAlgn val="ctr"/>
        <c:lblOffset val="100"/>
        <c:noMultiLvlLbl val="0"/>
      </c:catAx>
      <c:valAx>
        <c:axId val="185088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50889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it-IT"/>
              <a:t>P/E 2023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E57-444A-A7E4-1E42B6C1B1B8}"/>
              </c:ext>
            </c:extLst>
          </c:dPt>
          <c:dPt>
            <c:idx val="1"/>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E57-444A-A7E4-1E42B6C1B1B8}"/>
              </c:ext>
            </c:extLst>
          </c:dPt>
          <c:dPt>
            <c:idx val="2"/>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E57-444A-A7E4-1E42B6C1B1B8}"/>
              </c:ext>
            </c:extLst>
          </c:dPt>
          <c:dPt>
            <c:idx val="3"/>
            <c:invertIfNegative val="0"/>
            <c:bubble3D val="0"/>
            <c:spPr>
              <a:solidFill>
                <a:srgbClr val="DAEEF3"/>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E57-444A-A7E4-1E42B6C1B1B8}"/>
              </c:ext>
            </c:extLst>
          </c:dPt>
          <c:dPt>
            <c:idx val="4"/>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E57-444A-A7E4-1E42B6C1B1B8}"/>
              </c:ext>
            </c:extLst>
          </c:dPt>
          <c:dPt>
            <c:idx val="5"/>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E57-444A-A7E4-1E42B6C1B1B8}"/>
              </c:ext>
            </c:extLst>
          </c:dPt>
          <c:dPt>
            <c:idx val="6"/>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E57-444A-A7E4-1E42B6C1B1B8}"/>
              </c:ext>
            </c:extLst>
          </c:dPt>
          <c:dLbls>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it-IT"/>
                </a:p>
              </c:txPr>
              <c:dLblPos val="outEnd"/>
              <c:showLegendKey val="0"/>
              <c:showVal val="1"/>
              <c:showCatName val="0"/>
              <c:showSerName val="0"/>
              <c:showPercent val="0"/>
              <c:showBubbleSize val="0"/>
              <c:extLst>
                <c:ext xmlns:c16="http://schemas.microsoft.com/office/drawing/2014/chart" uri="{C3380CC4-5D6E-409C-BE32-E72D297353CC}">
                  <c16:uniqueId val="{00000007-FE57-444A-A7E4-1E42B6C1B1B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di Mercato'!$A$57:$A$63</c:f>
              <c:strCache>
                <c:ptCount val="7"/>
                <c:pt idx="0">
                  <c:v>FinecoBank</c:v>
                </c:pt>
                <c:pt idx="1">
                  <c:v>Banca Generali</c:v>
                </c:pt>
                <c:pt idx="2">
                  <c:v>Mediolanum</c:v>
                </c:pt>
                <c:pt idx="3">
                  <c:v>Mediobanca</c:v>
                </c:pt>
                <c:pt idx="4">
                  <c:v>Intesa </c:v>
                </c:pt>
                <c:pt idx="5">
                  <c:v>Unicredit</c:v>
                </c:pt>
                <c:pt idx="6">
                  <c:v>Banco BPM</c:v>
                </c:pt>
              </c:strCache>
            </c:strRef>
          </c:cat>
          <c:val>
            <c:numRef>
              <c:f>'Performance di Mercato'!$D$57:$D$63</c:f>
              <c:numCache>
                <c:formatCode>General</c:formatCode>
                <c:ptCount val="7"/>
                <c:pt idx="0">
                  <c:v>14</c:v>
                </c:pt>
                <c:pt idx="1">
                  <c:v>12</c:v>
                </c:pt>
                <c:pt idx="2">
                  <c:v>7.7</c:v>
                </c:pt>
                <c:pt idx="3">
                  <c:v>7.7</c:v>
                </c:pt>
                <c:pt idx="4">
                  <c:v>6.4</c:v>
                </c:pt>
                <c:pt idx="5">
                  <c:v>5.2</c:v>
                </c:pt>
                <c:pt idx="6">
                  <c:v>5.8</c:v>
                </c:pt>
              </c:numCache>
            </c:numRef>
          </c:val>
          <c:extLst>
            <c:ext xmlns:c16="http://schemas.microsoft.com/office/drawing/2014/chart" uri="{C3380CC4-5D6E-409C-BE32-E72D297353CC}">
              <c16:uniqueId val="{0000000E-FE57-444A-A7E4-1E42B6C1B1B8}"/>
            </c:ext>
          </c:extLst>
        </c:ser>
        <c:dLbls>
          <c:dLblPos val="outEnd"/>
          <c:showLegendKey val="0"/>
          <c:showVal val="1"/>
          <c:showCatName val="0"/>
          <c:showSerName val="0"/>
          <c:showPercent val="0"/>
          <c:showBubbleSize val="0"/>
        </c:dLbls>
        <c:gapWidth val="100"/>
        <c:overlap val="-24"/>
        <c:axId val="1850889663"/>
        <c:axId val="1850889183"/>
      </c:barChart>
      <c:catAx>
        <c:axId val="1850889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1850889183"/>
        <c:crosses val="autoZero"/>
        <c:auto val="1"/>
        <c:lblAlgn val="ctr"/>
        <c:lblOffset val="100"/>
        <c:noMultiLvlLbl val="0"/>
      </c:catAx>
      <c:valAx>
        <c:axId val="185088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5088966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it-IT"/>
              <a:t>P/E 2024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543-FE47-90AE-DCBE4187FA46}"/>
              </c:ext>
            </c:extLst>
          </c:dPt>
          <c:dPt>
            <c:idx val="1"/>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543-FE47-90AE-DCBE4187FA46}"/>
              </c:ext>
            </c:extLst>
          </c:dPt>
          <c:dPt>
            <c:idx val="2"/>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543-FE47-90AE-DCBE4187FA46}"/>
              </c:ext>
            </c:extLst>
          </c:dPt>
          <c:dPt>
            <c:idx val="3"/>
            <c:invertIfNegative val="0"/>
            <c:bubble3D val="0"/>
            <c:spPr>
              <a:solidFill>
                <a:srgbClr val="DAEEF3"/>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543-FE47-90AE-DCBE4187FA46}"/>
              </c:ext>
            </c:extLst>
          </c:dPt>
          <c:dPt>
            <c:idx val="4"/>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543-FE47-90AE-DCBE4187FA46}"/>
              </c:ext>
            </c:extLst>
          </c:dPt>
          <c:dPt>
            <c:idx val="5"/>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543-FE47-90AE-DCBE4187FA46}"/>
              </c:ext>
            </c:extLst>
          </c:dPt>
          <c:dPt>
            <c:idx val="6"/>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543-FE47-90AE-DCBE4187FA46}"/>
              </c:ext>
            </c:extLst>
          </c:dPt>
          <c:dLbls>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it-IT"/>
                </a:p>
              </c:txPr>
              <c:dLblPos val="outEnd"/>
              <c:showLegendKey val="0"/>
              <c:showVal val="1"/>
              <c:showCatName val="0"/>
              <c:showSerName val="0"/>
              <c:showPercent val="0"/>
              <c:showBubbleSize val="0"/>
              <c:extLst>
                <c:ext xmlns:c16="http://schemas.microsoft.com/office/drawing/2014/chart" uri="{C3380CC4-5D6E-409C-BE32-E72D297353CC}">
                  <c16:uniqueId val="{00000007-5543-FE47-90AE-DCBE4187FA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di Mercato'!$A$57:$A$63</c:f>
              <c:strCache>
                <c:ptCount val="7"/>
                <c:pt idx="0">
                  <c:v>FinecoBank</c:v>
                </c:pt>
                <c:pt idx="1">
                  <c:v>Banca Generali</c:v>
                </c:pt>
                <c:pt idx="2">
                  <c:v>Mediolanum</c:v>
                </c:pt>
                <c:pt idx="3">
                  <c:v>Mediobanca</c:v>
                </c:pt>
                <c:pt idx="4">
                  <c:v>Intesa </c:v>
                </c:pt>
                <c:pt idx="5">
                  <c:v>Unicredit</c:v>
                </c:pt>
                <c:pt idx="6">
                  <c:v>Banco BPM</c:v>
                </c:pt>
              </c:strCache>
            </c:strRef>
          </c:cat>
          <c:val>
            <c:numRef>
              <c:f>'Performance di Mercato'!$E$57:$E$63</c:f>
              <c:numCache>
                <c:formatCode>General</c:formatCode>
                <c:ptCount val="7"/>
                <c:pt idx="0">
                  <c:v>16.2</c:v>
                </c:pt>
                <c:pt idx="1">
                  <c:v>12.1</c:v>
                </c:pt>
                <c:pt idx="2">
                  <c:v>7.6</c:v>
                </c:pt>
                <c:pt idx="3">
                  <c:v>8.9</c:v>
                </c:pt>
                <c:pt idx="4">
                  <c:v>7.9</c:v>
                </c:pt>
                <c:pt idx="5">
                  <c:v>6.7</c:v>
                </c:pt>
                <c:pt idx="6">
                  <c:v>7.6</c:v>
                </c:pt>
              </c:numCache>
            </c:numRef>
          </c:val>
          <c:extLst>
            <c:ext xmlns:c16="http://schemas.microsoft.com/office/drawing/2014/chart" uri="{C3380CC4-5D6E-409C-BE32-E72D297353CC}">
              <c16:uniqueId val="{0000000E-5543-FE47-90AE-DCBE4187FA46}"/>
            </c:ext>
          </c:extLst>
        </c:ser>
        <c:dLbls>
          <c:dLblPos val="outEnd"/>
          <c:showLegendKey val="0"/>
          <c:showVal val="1"/>
          <c:showCatName val="0"/>
          <c:showSerName val="0"/>
          <c:showPercent val="0"/>
          <c:showBubbleSize val="0"/>
        </c:dLbls>
        <c:gapWidth val="100"/>
        <c:overlap val="-24"/>
        <c:axId val="1850889663"/>
        <c:axId val="1850889183"/>
      </c:barChart>
      <c:catAx>
        <c:axId val="1850889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1850889183"/>
        <c:crosses val="autoZero"/>
        <c:auto val="1"/>
        <c:lblAlgn val="ctr"/>
        <c:lblOffset val="100"/>
        <c:noMultiLvlLbl val="0"/>
      </c:catAx>
      <c:valAx>
        <c:axId val="185088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5088966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it-IT"/>
              <a:t>P/E 2025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97C-7F45-817E-D0B29A9119D7}"/>
              </c:ext>
            </c:extLst>
          </c:dPt>
          <c:dPt>
            <c:idx val="1"/>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97C-7F45-817E-D0B29A9119D7}"/>
              </c:ext>
            </c:extLst>
          </c:dPt>
          <c:dPt>
            <c:idx val="2"/>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97C-7F45-817E-D0B29A9119D7}"/>
              </c:ext>
            </c:extLst>
          </c:dPt>
          <c:dPt>
            <c:idx val="3"/>
            <c:invertIfNegative val="0"/>
            <c:bubble3D val="0"/>
            <c:spPr>
              <a:solidFill>
                <a:srgbClr val="DAEEF3"/>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97C-7F45-817E-D0B29A9119D7}"/>
              </c:ext>
            </c:extLst>
          </c:dPt>
          <c:dPt>
            <c:idx val="4"/>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97C-7F45-817E-D0B29A9119D7}"/>
              </c:ext>
            </c:extLst>
          </c:dPt>
          <c:dPt>
            <c:idx val="5"/>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97C-7F45-817E-D0B29A9119D7}"/>
              </c:ext>
            </c:extLst>
          </c:dPt>
          <c:dPt>
            <c:idx val="6"/>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97C-7F45-817E-D0B29A9119D7}"/>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di Mercato'!$A$57:$A$63</c:f>
              <c:strCache>
                <c:ptCount val="7"/>
                <c:pt idx="0">
                  <c:v>FinecoBank</c:v>
                </c:pt>
                <c:pt idx="1">
                  <c:v>Banca Generali</c:v>
                </c:pt>
                <c:pt idx="2">
                  <c:v>Mediolanum</c:v>
                </c:pt>
                <c:pt idx="3">
                  <c:v>Mediobanca</c:v>
                </c:pt>
                <c:pt idx="4">
                  <c:v>Intesa </c:v>
                </c:pt>
                <c:pt idx="5">
                  <c:v>Unicredit</c:v>
                </c:pt>
                <c:pt idx="6">
                  <c:v>Banco BPM</c:v>
                </c:pt>
              </c:strCache>
            </c:strRef>
          </c:cat>
          <c:val>
            <c:numRef>
              <c:f>'Performance di Mercato'!$F$57:$F$63</c:f>
              <c:numCache>
                <c:formatCode>General</c:formatCode>
                <c:ptCount val="7"/>
                <c:pt idx="0">
                  <c:v>19.5</c:v>
                </c:pt>
                <c:pt idx="1">
                  <c:v>15.1</c:v>
                </c:pt>
                <c:pt idx="2">
                  <c:v>11.7</c:v>
                </c:pt>
                <c:pt idx="3">
                  <c:v>12</c:v>
                </c:pt>
                <c:pt idx="4">
                  <c:v>9.1</c:v>
                </c:pt>
                <c:pt idx="5">
                  <c:v>9</c:v>
                </c:pt>
                <c:pt idx="6">
                  <c:v>8.6</c:v>
                </c:pt>
              </c:numCache>
            </c:numRef>
          </c:val>
          <c:extLst>
            <c:ext xmlns:c16="http://schemas.microsoft.com/office/drawing/2014/chart" uri="{C3380CC4-5D6E-409C-BE32-E72D297353CC}">
              <c16:uniqueId val="{0000000E-F97C-7F45-817E-D0B29A9119D7}"/>
            </c:ext>
          </c:extLst>
        </c:ser>
        <c:dLbls>
          <c:dLblPos val="outEnd"/>
          <c:showLegendKey val="0"/>
          <c:showVal val="1"/>
          <c:showCatName val="0"/>
          <c:showSerName val="0"/>
          <c:showPercent val="0"/>
          <c:showBubbleSize val="0"/>
        </c:dLbls>
        <c:gapWidth val="100"/>
        <c:overlap val="-24"/>
        <c:axId val="1850889663"/>
        <c:axId val="1850889183"/>
      </c:barChart>
      <c:catAx>
        <c:axId val="1850889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1850889183"/>
        <c:crosses val="autoZero"/>
        <c:auto val="1"/>
        <c:lblAlgn val="ctr"/>
        <c:lblOffset val="100"/>
        <c:noMultiLvlLbl val="0"/>
      </c:catAx>
      <c:valAx>
        <c:axId val="185088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185088966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b="1"/>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it-IT" sz="1600" b="1" i="0" u="none" strike="noStrike" kern="1200" baseline="0">
                <a:solidFill>
                  <a:sysClr val="windowText" lastClr="000000">
                    <a:lumMod val="65000"/>
                    <a:lumOff val="35000"/>
                  </a:sysClr>
                </a:solidFill>
              </a:rPr>
              <a:t>P/E 2026</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DF3-9843-ABB6-818EFD87CD80}"/>
              </c:ext>
            </c:extLst>
          </c:dPt>
          <c:dPt>
            <c:idx val="1"/>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DF3-9843-ABB6-818EFD87CD80}"/>
              </c:ext>
            </c:extLst>
          </c:dPt>
          <c:dPt>
            <c:idx val="2"/>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DF3-9843-ABB6-818EFD87CD80}"/>
              </c:ext>
            </c:extLst>
          </c:dPt>
          <c:dPt>
            <c:idx val="3"/>
            <c:invertIfNegative val="0"/>
            <c:bubble3D val="0"/>
            <c:spPr>
              <a:solidFill>
                <a:srgbClr val="DAEEF3"/>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DF3-9843-ABB6-818EFD87CD80}"/>
              </c:ext>
            </c:extLst>
          </c:dPt>
          <c:dPt>
            <c:idx val="4"/>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DF3-9843-ABB6-818EFD87CD80}"/>
              </c:ext>
            </c:extLst>
          </c:dPt>
          <c:dPt>
            <c:idx val="5"/>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DF3-9843-ABB6-818EFD87CD80}"/>
              </c:ext>
            </c:extLst>
          </c:dPt>
          <c:dPt>
            <c:idx val="6"/>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DF3-9843-ABB6-818EFD87CD80}"/>
              </c:ext>
            </c:extLst>
          </c:dPt>
          <c:dLbls>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it-IT"/>
                </a:p>
              </c:txPr>
              <c:dLblPos val="outEnd"/>
              <c:showLegendKey val="0"/>
              <c:showVal val="1"/>
              <c:showCatName val="0"/>
              <c:showSerName val="0"/>
              <c:showPercent val="0"/>
              <c:showBubbleSize val="0"/>
              <c:extLst>
                <c:ext xmlns:c16="http://schemas.microsoft.com/office/drawing/2014/chart" uri="{C3380CC4-5D6E-409C-BE32-E72D297353CC}">
                  <c16:uniqueId val="{00000007-8DF3-9843-ABB6-818EFD87CD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di Mercato'!$A$57:$A$63</c:f>
              <c:strCache>
                <c:ptCount val="7"/>
                <c:pt idx="0">
                  <c:v>FinecoBank</c:v>
                </c:pt>
                <c:pt idx="1">
                  <c:v>Banca Generali</c:v>
                </c:pt>
                <c:pt idx="2">
                  <c:v>Mediolanum</c:v>
                </c:pt>
                <c:pt idx="3">
                  <c:v>Mediobanca</c:v>
                </c:pt>
                <c:pt idx="4">
                  <c:v>Intesa </c:v>
                </c:pt>
                <c:pt idx="5">
                  <c:v>Unicredit</c:v>
                </c:pt>
                <c:pt idx="6">
                  <c:v>Banco BPM</c:v>
                </c:pt>
              </c:strCache>
            </c:strRef>
          </c:cat>
          <c:val>
            <c:numRef>
              <c:f>'Performance di Mercato'!$G$57:$G$63</c:f>
              <c:numCache>
                <c:formatCode>General</c:formatCode>
                <c:ptCount val="7"/>
                <c:pt idx="0">
                  <c:v>18.399999999999999</c:v>
                </c:pt>
                <c:pt idx="1">
                  <c:v>14.6</c:v>
                </c:pt>
                <c:pt idx="2">
                  <c:v>11.5</c:v>
                </c:pt>
                <c:pt idx="3">
                  <c:v>10.9</c:v>
                </c:pt>
                <c:pt idx="4">
                  <c:v>8.6</c:v>
                </c:pt>
                <c:pt idx="5">
                  <c:v>8.4</c:v>
                </c:pt>
                <c:pt idx="6">
                  <c:v>8.5</c:v>
                </c:pt>
              </c:numCache>
            </c:numRef>
          </c:val>
          <c:extLst>
            <c:ext xmlns:c16="http://schemas.microsoft.com/office/drawing/2014/chart" uri="{C3380CC4-5D6E-409C-BE32-E72D297353CC}">
              <c16:uniqueId val="{0000000E-8DF3-9843-ABB6-818EFD87CD80}"/>
            </c:ext>
          </c:extLst>
        </c:ser>
        <c:dLbls>
          <c:dLblPos val="outEnd"/>
          <c:showLegendKey val="0"/>
          <c:showVal val="1"/>
          <c:showCatName val="0"/>
          <c:showSerName val="0"/>
          <c:showPercent val="0"/>
          <c:showBubbleSize val="0"/>
        </c:dLbls>
        <c:gapWidth val="100"/>
        <c:overlap val="-24"/>
        <c:axId val="1850889663"/>
        <c:axId val="1850889183"/>
      </c:barChart>
      <c:catAx>
        <c:axId val="1850889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1850889183"/>
        <c:crosses val="autoZero"/>
        <c:auto val="1"/>
        <c:lblAlgn val="ctr"/>
        <c:lblOffset val="100"/>
        <c:noMultiLvlLbl val="0"/>
      </c:catAx>
      <c:valAx>
        <c:axId val="185088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5088966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it-IT" sz="1600" b="1" i="0" u="none" strike="noStrike" kern="1200" baseline="0">
                <a:solidFill>
                  <a:sysClr val="windowText" lastClr="000000">
                    <a:lumMod val="65000"/>
                    <a:lumOff val="35000"/>
                  </a:sysClr>
                </a:solidFill>
              </a:rPr>
              <a:t>P/E 2027</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90D-B447-82EE-91849C678317}"/>
              </c:ext>
            </c:extLst>
          </c:dPt>
          <c:dPt>
            <c:idx val="1"/>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90D-B447-82EE-91849C678317}"/>
              </c:ext>
            </c:extLst>
          </c:dPt>
          <c:dPt>
            <c:idx val="2"/>
            <c:invertIfNegative val="0"/>
            <c:bubble3D val="0"/>
            <c:spPr>
              <a:solidFill>
                <a:srgbClr val="CCC0DA"/>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90D-B447-82EE-91849C678317}"/>
              </c:ext>
            </c:extLst>
          </c:dPt>
          <c:dPt>
            <c:idx val="3"/>
            <c:invertIfNegative val="0"/>
            <c:bubble3D val="0"/>
            <c:spPr>
              <a:solidFill>
                <a:srgbClr val="DAEEF3"/>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90D-B447-82EE-91849C678317}"/>
              </c:ext>
            </c:extLst>
          </c:dPt>
          <c:dPt>
            <c:idx val="4"/>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90D-B447-82EE-91849C678317}"/>
              </c:ext>
            </c:extLst>
          </c:dPt>
          <c:dPt>
            <c:idx val="5"/>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90D-B447-82EE-91849C678317}"/>
              </c:ext>
            </c:extLst>
          </c:dPt>
          <c:dPt>
            <c:idx val="6"/>
            <c:invertIfNegative val="0"/>
            <c:bubble3D val="0"/>
            <c:spPr>
              <a:solidFill>
                <a:srgbClr val="FCD5B4"/>
              </a:solidFill>
              <a:ln>
                <a:solidFill>
                  <a:sysClr val="windowText" lastClr="00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90D-B447-82EE-91849C678317}"/>
              </c:ext>
            </c:extLst>
          </c:dPt>
          <c:dLbls>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it-IT"/>
                </a:p>
              </c:txPr>
              <c:dLblPos val="outEnd"/>
              <c:showLegendKey val="0"/>
              <c:showVal val="1"/>
              <c:showCatName val="0"/>
              <c:showSerName val="0"/>
              <c:showPercent val="0"/>
              <c:showBubbleSize val="0"/>
              <c:extLst>
                <c:ext xmlns:c16="http://schemas.microsoft.com/office/drawing/2014/chart" uri="{C3380CC4-5D6E-409C-BE32-E72D297353CC}">
                  <c16:uniqueId val="{00000007-790D-B447-82EE-91849C67831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di Mercato'!$A$57:$A$63</c:f>
              <c:strCache>
                <c:ptCount val="7"/>
                <c:pt idx="0">
                  <c:v>FinecoBank</c:v>
                </c:pt>
                <c:pt idx="1">
                  <c:v>Banca Generali</c:v>
                </c:pt>
                <c:pt idx="2">
                  <c:v>Mediolanum</c:v>
                </c:pt>
                <c:pt idx="3">
                  <c:v>Mediobanca</c:v>
                </c:pt>
                <c:pt idx="4">
                  <c:v>Intesa </c:v>
                </c:pt>
                <c:pt idx="5">
                  <c:v>Unicredit</c:v>
                </c:pt>
                <c:pt idx="6">
                  <c:v>Banco BPM</c:v>
                </c:pt>
              </c:strCache>
            </c:strRef>
          </c:cat>
          <c:val>
            <c:numRef>
              <c:f>'Performance di Mercato'!$H$57:$H$63</c:f>
              <c:numCache>
                <c:formatCode>General</c:formatCode>
                <c:ptCount val="7"/>
                <c:pt idx="0">
                  <c:v>16.899999999999999</c:v>
                </c:pt>
                <c:pt idx="1">
                  <c:v>13.9</c:v>
                </c:pt>
                <c:pt idx="2">
                  <c:v>10.9</c:v>
                </c:pt>
                <c:pt idx="3">
                  <c:v>10.5</c:v>
                </c:pt>
                <c:pt idx="4">
                  <c:v>8.1</c:v>
                </c:pt>
                <c:pt idx="5">
                  <c:v>7.6</c:v>
                </c:pt>
                <c:pt idx="6">
                  <c:v>8.1</c:v>
                </c:pt>
              </c:numCache>
            </c:numRef>
          </c:val>
          <c:extLst>
            <c:ext xmlns:c16="http://schemas.microsoft.com/office/drawing/2014/chart" uri="{C3380CC4-5D6E-409C-BE32-E72D297353CC}">
              <c16:uniqueId val="{0000000E-790D-B447-82EE-91849C678317}"/>
            </c:ext>
          </c:extLst>
        </c:ser>
        <c:dLbls>
          <c:dLblPos val="outEnd"/>
          <c:showLegendKey val="0"/>
          <c:showVal val="1"/>
          <c:showCatName val="0"/>
          <c:showSerName val="0"/>
          <c:showPercent val="0"/>
          <c:showBubbleSize val="0"/>
        </c:dLbls>
        <c:gapWidth val="100"/>
        <c:overlap val="-24"/>
        <c:axId val="1850889663"/>
        <c:axId val="1850889183"/>
      </c:barChart>
      <c:catAx>
        <c:axId val="1850889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1850889183"/>
        <c:crosses val="autoZero"/>
        <c:auto val="1"/>
        <c:lblAlgn val="ctr"/>
        <c:lblOffset val="100"/>
        <c:noMultiLvlLbl val="0"/>
      </c:catAx>
      <c:valAx>
        <c:axId val="185088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5088966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9</xdr:col>
      <xdr:colOff>0</xdr:colOff>
      <xdr:row>14</xdr:row>
      <xdr:rowOff>71628</xdr:rowOff>
    </xdr:from>
    <xdr:to>
      <xdr:col>9</xdr:col>
      <xdr:colOff>203200</xdr:colOff>
      <xdr:row>22</xdr:row>
      <xdr:rowOff>10806</xdr:rowOff>
    </xdr:to>
    <xdr:sp macro="" textlink="">
      <xdr:nvSpPr>
        <xdr:cNvPr id="4" name="object 3">
          <a:extLst>
            <a:ext uri="{FF2B5EF4-FFF2-40B4-BE49-F238E27FC236}">
              <a16:creationId xmlns:a16="http://schemas.microsoft.com/office/drawing/2014/main" id="{00000000-0008-0000-0100-000004000000}"/>
            </a:ext>
          </a:extLst>
        </xdr:cNvPr>
        <xdr:cNvSpPr txBox="1"/>
      </xdr:nvSpPr>
      <xdr:spPr>
        <a:xfrm>
          <a:off x="6057900" y="2738628"/>
          <a:ext cx="203200" cy="1463178"/>
        </a:xfrm>
        <a:prstGeom prst="rect">
          <a:avLst/>
        </a:prstGeom>
      </xdr:spPr>
      <xdr:txBody>
        <a:bodyPr vert="horz" wrap="square" lIns="0" tIns="22860" rIns="0" bIns="0" rtlCol="0">
          <a:spAutoFit/>
        </a:bodyPr>
        <a:lstStyle>
          <a:defPPr>
            <a:defRPr kern="0"/>
          </a:defPPr>
        </a:lstStyle>
        <a:p>
          <a:pPr marL="49530" marR="5080" indent="-37465" algn="r">
            <a:lnSpc>
              <a:spcPts val="1140"/>
            </a:lnSpc>
            <a:spcBef>
              <a:spcPts val="180"/>
            </a:spcBef>
          </a:pPr>
          <a:r>
            <a:rPr sz="1500" spc="-284" baseline="2777">
              <a:solidFill>
                <a:srgbClr val="003366"/>
              </a:solidFill>
              <a:latin typeface="Verdana"/>
              <a:cs typeface="Verdana"/>
            </a:rPr>
            <a:t>€</a:t>
          </a:r>
          <a:r>
            <a:rPr sz="1000" spc="-190">
              <a:solidFill>
                <a:srgbClr val="003366"/>
              </a:solidFill>
              <a:latin typeface="Verdana"/>
              <a:cs typeface="Verdana"/>
            </a:rPr>
            <a:t>18</a:t>
          </a:r>
          <a:r>
            <a:rPr sz="1000" spc="-110">
              <a:solidFill>
                <a:srgbClr val="003366"/>
              </a:solidFill>
              <a:latin typeface="Verdana"/>
              <a:cs typeface="Verdana"/>
            </a:rPr>
            <a:t> 16</a:t>
          </a:r>
          <a:endParaRPr sz="1000">
            <a:latin typeface="Verdana"/>
            <a:cs typeface="Verdana"/>
          </a:endParaRPr>
        </a:p>
        <a:p>
          <a:pPr marR="5080" algn="r">
            <a:lnSpc>
              <a:spcPts val="1090"/>
            </a:lnSpc>
          </a:pPr>
          <a:r>
            <a:rPr sz="1000" spc="-25">
              <a:solidFill>
                <a:srgbClr val="003366"/>
              </a:solidFill>
              <a:latin typeface="Verdana"/>
              <a:cs typeface="Verdana"/>
            </a:rPr>
            <a:t>14</a:t>
          </a:r>
          <a:endParaRPr sz="1000">
            <a:latin typeface="Verdana"/>
            <a:cs typeface="Verdana"/>
          </a:endParaRPr>
        </a:p>
        <a:p>
          <a:pPr marR="5080" algn="r">
            <a:lnSpc>
              <a:spcPts val="1145"/>
            </a:lnSpc>
          </a:pPr>
          <a:r>
            <a:rPr sz="1000" spc="-25">
              <a:solidFill>
                <a:srgbClr val="003366"/>
              </a:solidFill>
              <a:latin typeface="Verdana"/>
              <a:cs typeface="Verdana"/>
            </a:rPr>
            <a:t>12</a:t>
          </a:r>
          <a:endParaRPr sz="1000">
            <a:latin typeface="Verdana"/>
            <a:cs typeface="Verdana"/>
          </a:endParaRPr>
        </a:p>
        <a:p>
          <a:pPr marR="5080" algn="r">
            <a:lnSpc>
              <a:spcPts val="1145"/>
            </a:lnSpc>
          </a:pPr>
          <a:r>
            <a:rPr sz="1000" spc="-25">
              <a:solidFill>
                <a:srgbClr val="003366"/>
              </a:solidFill>
              <a:latin typeface="Verdana"/>
              <a:cs typeface="Verdana"/>
            </a:rPr>
            <a:t>10</a:t>
          </a:r>
          <a:endParaRPr sz="1000">
            <a:latin typeface="Verdana"/>
            <a:cs typeface="Verdana"/>
          </a:endParaRPr>
        </a:p>
        <a:p>
          <a:pPr marR="5080" algn="r">
            <a:lnSpc>
              <a:spcPts val="1145"/>
            </a:lnSpc>
          </a:pPr>
          <a:r>
            <a:rPr sz="1000" spc="-50">
              <a:solidFill>
                <a:srgbClr val="003366"/>
              </a:solidFill>
              <a:latin typeface="Verdana"/>
              <a:cs typeface="Verdana"/>
            </a:rPr>
            <a:t>8</a:t>
          </a:r>
          <a:endParaRPr sz="1000">
            <a:latin typeface="Verdana"/>
            <a:cs typeface="Verdana"/>
          </a:endParaRPr>
        </a:p>
        <a:p>
          <a:pPr marR="5080" algn="r">
            <a:lnSpc>
              <a:spcPts val="1145"/>
            </a:lnSpc>
          </a:pPr>
          <a:r>
            <a:rPr sz="1000" spc="-50">
              <a:solidFill>
                <a:srgbClr val="003366"/>
              </a:solidFill>
              <a:latin typeface="Verdana"/>
              <a:cs typeface="Verdana"/>
            </a:rPr>
            <a:t>6</a:t>
          </a:r>
          <a:endParaRPr sz="1000">
            <a:latin typeface="Verdana"/>
            <a:cs typeface="Verdana"/>
          </a:endParaRPr>
        </a:p>
        <a:p>
          <a:pPr marR="5080" algn="r">
            <a:lnSpc>
              <a:spcPts val="1145"/>
            </a:lnSpc>
          </a:pPr>
          <a:r>
            <a:rPr sz="1000" spc="-50">
              <a:solidFill>
                <a:srgbClr val="003366"/>
              </a:solidFill>
              <a:latin typeface="Verdana"/>
              <a:cs typeface="Verdana"/>
            </a:rPr>
            <a:t>4</a:t>
          </a:r>
          <a:endParaRPr sz="1000">
            <a:latin typeface="Verdana"/>
            <a:cs typeface="Verdana"/>
          </a:endParaRPr>
        </a:p>
        <a:p>
          <a:pPr marR="5080" algn="r">
            <a:lnSpc>
              <a:spcPts val="1145"/>
            </a:lnSpc>
          </a:pPr>
          <a:r>
            <a:rPr sz="1000" spc="-50">
              <a:solidFill>
                <a:srgbClr val="003366"/>
              </a:solidFill>
              <a:latin typeface="Verdana"/>
              <a:cs typeface="Verdana"/>
            </a:rPr>
            <a:t>2</a:t>
          </a:r>
          <a:endParaRPr sz="1000">
            <a:latin typeface="Verdana"/>
            <a:cs typeface="Verdana"/>
          </a:endParaRPr>
        </a:p>
        <a:p>
          <a:pPr marR="5080" algn="r">
            <a:lnSpc>
              <a:spcPts val="1170"/>
            </a:lnSpc>
          </a:pPr>
          <a:r>
            <a:rPr sz="1000" spc="-50">
              <a:solidFill>
                <a:srgbClr val="003366"/>
              </a:solidFill>
              <a:latin typeface="Verdana"/>
              <a:cs typeface="Verdana"/>
            </a:rPr>
            <a:t>0</a:t>
          </a:r>
          <a:endParaRPr sz="1000">
            <a:latin typeface="Verdana"/>
            <a:cs typeface="Verdana"/>
          </a:endParaRPr>
        </a:p>
      </xdr:txBody>
    </xdr:sp>
    <xdr:clientData/>
  </xdr:twoCellAnchor>
  <xdr:twoCellAnchor>
    <xdr:from>
      <xdr:col>11</xdr:col>
      <xdr:colOff>296339</xdr:colOff>
      <xdr:row>13</xdr:row>
      <xdr:rowOff>182307</xdr:rowOff>
    </xdr:from>
    <xdr:to>
      <xdr:col>16</xdr:col>
      <xdr:colOff>245680</xdr:colOff>
      <xdr:row>15</xdr:row>
      <xdr:rowOff>9123</xdr:rowOff>
    </xdr:to>
    <xdr:sp macro="" textlink="">
      <xdr:nvSpPr>
        <xdr:cNvPr id="5" name="object 4">
          <a:extLst>
            <a:ext uri="{FF2B5EF4-FFF2-40B4-BE49-F238E27FC236}">
              <a16:creationId xmlns:a16="http://schemas.microsoft.com/office/drawing/2014/main" id="{00000000-0008-0000-0100-000005000000}"/>
            </a:ext>
          </a:extLst>
        </xdr:cNvPr>
        <xdr:cNvSpPr txBox="1"/>
      </xdr:nvSpPr>
      <xdr:spPr>
        <a:xfrm>
          <a:off x="7700439" y="2658807"/>
          <a:ext cx="3314841" cy="207816"/>
        </a:xfrm>
        <a:prstGeom prst="rect">
          <a:avLst/>
        </a:prstGeom>
      </xdr:spPr>
      <xdr:txBody>
        <a:bodyPr vert="horz" wrap="square" lIns="0" tIns="13335" rIns="0" bIns="0" rtlCol="0">
          <a:spAutoFit/>
        </a:bodyPr>
        <a:lstStyle>
          <a:defPPr>
            <a:defRPr kern="0"/>
          </a:defPPr>
        </a:lstStyle>
        <a:p>
          <a:pPr marL="12700">
            <a:lnSpc>
              <a:spcPct val="100000"/>
            </a:lnSpc>
            <a:spcBef>
              <a:spcPts val="105"/>
            </a:spcBef>
          </a:pPr>
          <a:r>
            <a:rPr sz="1100" b="1">
              <a:solidFill>
                <a:srgbClr val="003366"/>
              </a:solidFill>
              <a:latin typeface="Avenir Next" panose="020B0503020202020204" pitchFamily="34" charset="0"/>
              <a:cs typeface="Tahoma"/>
            </a:rPr>
            <a:t>Mediobanca</a:t>
          </a:r>
          <a:r>
            <a:rPr lang="it-IT" sz="1100" b="1" spc="-5" baseline="0">
              <a:solidFill>
                <a:srgbClr val="003366"/>
              </a:solidFill>
              <a:latin typeface="Avenir Next" panose="020B0503020202020204" pitchFamily="34" charset="0"/>
              <a:cs typeface="Tahoma"/>
            </a:rPr>
            <a:t> = +86% </a:t>
          </a:r>
          <a:r>
            <a:rPr sz="1100" b="1" spc="-140">
              <a:solidFill>
                <a:srgbClr val="003366"/>
              </a:solidFill>
              <a:latin typeface="Avenir Next" panose="020B0503020202020204" pitchFamily="34" charset="0"/>
              <a:cs typeface="Tahoma"/>
            </a:rPr>
            <a:t>/</a:t>
          </a:r>
          <a:r>
            <a:rPr lang="it-IT" sz="1100" b="1" spc="45" baseline="0">
              <a:solidFill>
                <a:srgbClr val="003366"/>
              </a:solidFill>
              <a:latin typeface="Avenir Next" panose="020B0503020202020204" pitchFamily="34" charset="0"/>
              <a:cs typeface="Tahoma"/>
            </a:rPr>
            <a:t> TSR 202%</a:t>
          </a:r>
          <a:endParaRPr sz="1100">
            <a:latin typeface="Avenir Next" panose="020B0503020202020204" pitchFamily="34" charset="0"/>
            <a:cs typeface="Tahoma"/>
          </a:endParaRPr>
        </a:p>
      </xdr:txBody>
    </xdr:sp>
    <xdr:clientData/>
  </xdr:twoCellAnchor>
  <xdr:twoCellAnchor>
    <xdr:from>
      <xdr:col>19</xdr:col>
      <xdr:colOff>215181</xdr:colOff>
      <xdr:row>20</xdr:row>
      <xdr:rowOff>32474</xdr:rowOff>
    </xdr:from>
    <xdr:to>
      <xdr:col>22</xdr:col>
      <xdr:colOff>50800</xdr:colOff>
      <xdr:row>21</xdr:row>
      <xdr:rowOff>50799</xdr:rowOff>
    </xdr:to>
    <xdr:sp macro="" textlink="">
      <xdr:nvSpPr>
        <xdr:cNvPr id="6" name="object 5">
          <a:extLst>
            <a:ext uri="{FF2B5EF4-FFF2-40B4-BE49-F238E27FC236}">
              <a16:creationId xmlns:a16="http://schemas.microsoft.com/office/drawing/2014/main" id="{00000000-0008-0000-0100-000006000000}"/>
            </a:ext>
          </a:extLst>
        </xdr:cNvPr>
        <xdr:cNvSpPr txBox="1"/>
      </xdr:nvSpPr>
      <xdr:spPr>
        <a:xfrm>
          <a:off x="13004081" y="3842474"/>
          <a:ext cx="1854919" cy="208825"/>
        </a:xfrm>
        <a:prstGeom prst="rect">
          <a:avLst/>
        </a:prstGeom>
      </xdr:spPr>
      <xdr:txBody>
        <a:bodyPr vert="horz" wrap="square" lIns="0" tIns="13335" rIns="0" bIns="0" rtlCol="0">
          <a:spAutoFit/>
        </a:bodyPr>
        <a:lstStyle>
          <a:defPPr>
            <a:defRPr kern="0"/>
          </a:defPPr>
        </a:lstStyle>
        <a:p>
          <a:pPr marL="12700">
            <a:lnSpc>
              <a:spcPct val="100000"/>
            </a:lnSpc>
            <a:spcBef>
              <a:spcPts val="105"/>
            </a:spcBef>
          </a:pPr>
          <a:r>
            <a:rPr sz="1100" b="1" spc="-114">
              <a:solidFill>
                <a:srgbClr val="937039"/>
              </a:solidFill>
              <a:latin typeface="Avenir Next" panose="020B0503020202020204" pitchFamily="34" charset="0"/>
              <a:cs typeface="Tahoma"/>
            </a:rPr>
            <a:t>E</a:t>
          </a:r>
          <a:r>
            <a:rPr lang="it-IT" sz="1100" b="1" spc="-114">
              <a:solidFill>
                <a:srgbClr val="937039"/>
              </a:solidFill>
              <a:latin typeface="Avenir Next" panose="020B0503020202020204" pitchFamily="34" charset="0"/>
              <a:cs typeface="Tahoma"/>
            </a:rPr>
            <a:t> </a:t>
          </a:r>
          <a:r>
            <a:rPr sz="1100" b="1" spc="-114">
              <a:solidFill>
                <a:srgbClr val="937039"/>
              </a:solidFill>
              <a:latin typeface="Avenir Next" panose="020B0503020202020204" pitchFamily="34" charset="0"/>
              <a:cs typeface="Tahoma"/>
            </a:rPr>
            <a:t>U</a:t>
          </a:r>
          <a:r>
            <a:rPr sz="1100" b="1" spc="-10">
              <a:solidFill>
                <a:srgbClr val="937039"/>
              </a:solidFill>
              <a:latin typeface="Avenir Next" panose="020B0503020202020204" pitchFamily="34" charset="0"/>
              <a:cs typeface="Tahoma"/>
            </a:rPr>
            <a:t> </a:t>
          </a:r>
          <a:r>
            <a:rPr sz="1100" b="1" spc="-50">
              <a:solidFill>
                <a:srgbClr val="937039"/>
              </a:solidFill>
              <a:latin typeface="Avenir Next" panose="020B0503020202020204" pitchFamily="34" charset="0"/>
              <a:cs typeface="Tahoma"/>
            </a:rPr>
            <a:t>banks</a:t>
          </a:r>
          <a:r>
            <a:rPr lang="it-IT" sz="1100" b="1" spc="-50">
              <a:solidFill>
                <a:srgbClr val="937039"/>
              </a:solidFill>
              <a:latin typeface="Avenir Next" panose="020B0503020202020204" pitchFamily="34" charset="0"/>
              <a:cs typeface="Tahoma"/>
            </a:rPr>
            <a:t> </a:t>
          </a:r>
          <a:r>
            <a:rPr sz="1100" b="1" spc="-50">
              <a:solidFill>
                <a:srgbClr val="937039"/>
              </a:solidFill>
              <a:latin typeface="Avenir Next" panose="020B0503020202020204" pitchFamily="34" charset="0"/>
              <a:cs typeface="Tahoma"/>
            </a:rPr>
            <a:t>=</a:t>
          </a:r>
          <a:r>
            <a:rPr sz="1100" b="1">
              <a:solidFill>
                <a:srgbClr val="937039"/>
              </a:solidFill>
              <a:latin typeface="Avenir Next" panose="020B0503020202020204" pitchFamily="34" charset="0"/>
              <a:cs typeface="Tahoma"/>
            </a:rPr>
            <a:t> </a:t>
          </a:r>
          <a:r>
            <a:rPr sz="1100" b="1" spc="-20">
              <a:solidFill>
                <a:srgbClr val="937039"/>
              </a:solidFill>
              <a:latin typeface="Avenir Next" panose="020B0503020202020204" pitchFamily="34" charset="0"/>
              <a:cs typeface="Tahoma"/>
            </a:rPr>
            <a:t>-</a:t>
          </a:r>
          <a:r>
            <a:rPr sz="1100" b="1" spc="-235">
              <a:solidFill>
                <a:srgbClr val="937039"/>
              </a:solidFill>
              <a:latin typeface="Avenir Next" panose="020B0503020202020204" pitchFamily="34" charset="0"/>
              <a:cs typeface="Tahoma"/>
            </a:rPr>
            <a:t>9</a:t>
          </a:r>
          <a:r>
            <a:rPr lang="it-IT" sz="1100" b="1" spc="-235">
              <a:solidFill>
                <a:srgbClr val="937039"/>
              </a:solidFill>
              <a:latin typeface="Avenir Next" panose="020B0503020202020204" pitchFamily="34" charset="0"/>
              <a:cs typeface="Tahoma"/>
            </a:rPr>
            <a:t>      </a:t>
          </a:r>
          <a:r>
            <a:rPr sz="1100" b="1" spc="-235">
              <a:solidFill>
                <a:srgbClr val="937039"/>
              </a:solidFill>
              <a:latin typeface="Avenir Next" panose="020B0503020202020204" pitchFamily="34" charset="0"/>
              <a:cs typeface="Tahoma"/>
            </a:rPr>
            <a:t>%</a:t>
          </a:r>
          <a:r>
            <a:rPr sz="1100" b="1" spc="-15">
              <a:solidFill>
                <a:srgbClr val="937039"/>
              </a:solidFill>
              <a:latin typeface="Avenir Next" panose="020B0503020202020204" pitchFamily="34" charset="0"/>
              <a:cs typeface="Tahoma"/>
            </a:rPr>
            <a:t> </a:t>
          </a:r>
          <a:r>
            <a:rPr lang="it-IT" sz="1100" b="1" spc="-15">
              <a:solidFill>
                <a:srgbClr val="937039"/>
              </a:solidFill>
              <a:latin typeface="Avenir Next" panose="020B0503020202020204" pitchFamily="34" charset="0"/>
              <a:cs typeface="Tahoma"/>
            </a:rPr>
            <a:t> </a:t>
          </a:r>
          <a:r>
            <a:rPr sz="1100" b="1" spc="-140">
              <a:solidFill>
                <a:srgbClr val="937039"/>
              </a:solidFill>
              <a:latin typeface="Avenir Next" panose="020B0503020202020204" pitchFamily="34" charset="0"/>
              <a:cs typeface="Tahoma"/>
            </a:rPr>
            <a:t>/</a:t>
          </a:r>
          <a:r>
            <a:rPr sz="1100" b="1" spc="-10">
              <a:solidFill>
                <a:srgbClr val="937039"/>
              </a:solidFill>
              <a:latin typeface="Avenir Next" panose="020B0503020202020204" pitchFamily="34" charset="0"/>
              <a:cs typeface="Tahoma"/>
            </a:rPr>
            <a:t> </a:t>
          </a:r>
          <a:r>
            <a:rPr sz="1100" b="1" spc="-155">
              <a:solidFill>
                <a:srgbClr val="937039"/>
              </a:solidFill>
              <a:latin typeface="Avenir Next" panose="020B0503020202020204" pitchFamily="34" charset="0"/>
              <a:cs typeface="Tahoma"/>
            </a:rPr>
            <a:t>T</a:t>
          </a:r>
          <a:r>
            <a:rPr lang="it-IT" sz="1100" b="1" spc="-155">
              <a:solidFill>
                <a:srgbClr val="937039"/>
              </a:solidFill>
              <a:latin typeface="Avenir Next" panose="020B0503020202020204" pitchFamily="34" charset="0"/>
              <a:cs typeface="Tahoma"/>
            </a:rPr>
            <a:t>  S</a:t>
          </a:r>
          <a:r>
            <a:rPr lang="it-IT" sz="1100" b="1" spc="-155" baseline="0">
              <a:solidFill>
                <a:srgbClr val="937039"/>
              </a:solidFill>
              <a:latin typeface="Avenir Next" panose="020B0503020202020204" pitchFamily="34" charset="0"/>
              <a:cs typeface="Tahoma"/>
            </a:rPr>
            <a:t> R </a:t>
          </a:r>
          <a:r>
            <a:rPr sz="1100" b="1" spc="-155">
              <a:solidFill>
                <a:srgbClr val="937039"/>
              </a:solidFill>
              <a:latin typeface="Avenir Next" panose="020B0503020202020204" pitchFamily="34" charset="0"/>
              <a:cs typeface="Tahoma"/>
            </a:rPr>
            <a:t>:</a:t>
          </a:r>
          <a:r>
            <a:rPr sz="1100" b="1" spc="-10">
              <a:solidFill>
                <a:srgbClr val="937039"/>
              </a:solidFill>
              <a:latin typeface="Avenir Next" panose="020B0503020202020204" pitchFamily="34" charset="0"/>
              <a:cs typeface="Tahoma"/>
            </a:rPr>
            <a:t> </a:t>
          </a:r>
          <a:r>
            <a:rPr sz="1100" b="1" spc="-140">
              <a:solidFill>
                <a:srgbClr val="937039"/>
              </a:solidFill>
              <a:latin typeface="Avenir Next" panose="020B0503020202020204" pitchFamily="34" charset="0"/>
              <a:cs typeface="Tahoma"/>
            </a:rPr>
            <a:t>4</a:t>
          </a:r>
          <a:r>
            <a:rPr lang="it-IT" sz="1100" b="1" spc="-140">
              <a:solidFill>
                <a:srgbClr val="937039"/>
              </a:solidFill>
              <a:latin typeface="Avenir Next" panose="020B0503020202020204" pitchFamily="34" charset="0"/>
              <a:cs typeface="Tahoma"/>
            </a:rPr>
            <a:t> </a:t>
          </a:r>
          <a:r>
            <a:rPr sz="1100" b="1" spc="-140">
              <a:solidFill>
                <a:srgbClr val="937039"/>
              </a:solidFill>
              <a:latin typeface="Avenir Next" panose="020B0503020202020204" pitchFamily="34" charset="0"/>
              <a:cs typeface="Tahoma"/>
            </a:rPr>
            <a:t>2</a:t>
          </a:r>
          <a:r>
            <a:rPr lang="it-IT" sz="1100" b="1" spc="-140">
              <a:solidFill>
                <a:srgbClr val="937039"/>
              </a:solidFill>
              <a:latin typeface="Avenir Next" panose="020B0503020202020204" pitchFamily="34" charset="0"/>
              <a:cs typeface="Tahoma"/>
            </a:rPr>
            <a:t> </a:t>
          </a:r>
          <a:r>
            <a:rPr sz="1100" b="1" spc="-140">
              <a:solidFill>
                <a:srgbClr val="937039"/>
              </a:solidFill>
              <a:latin typeface="Avenir Next" panose="020B0503020202020204" pitchFamily="34" charset="0"/>
              <a:cs typeface="Tahoma"/>
            </a:rPr>
            <a:t>%</a:t>
          </a:r>
          <a:endParaRPr sz="1100">
            <a:latin typeface="Avenir Next" panose="020B0503020202020204" pitchFamily="34" charset="0"/>
            <a:cs typeface="Tahoma"/>
          </a:endParaRPr>
        </a:p>
      </xdr:txBody>
    </xdr:sp>
    <xdr:clientData/>
  </xdr:twoCellAnchor>
  <xdr:twoCellAnchor>
    <xdr:from>
      <xdr:col>15</xdr:col>
      <xdr:colOff>498250</xdr:colOff>
      <xdr:row>13</xdr:row>
      <xdr:rowOff>127398</xdr:rowOff>
    </xdr:from>
    <xdr:to>
      <xdr:col>19</xdr:col>
      <xdr:colOff>263158</xdr:colOff>
      <xdr:row>14</xdr:row>
      <xdr:rowOff>144228</xdr:rowOff>
    </xdr:to>
    <xdr:sp macro="" textlink="">
      <xdr:nvSpPr>
        <xdr:cNvPr id="7" name="object 6">
          <a:extLst>
            <a:ext uri="{FF2B5EF4-FFF2-40B4-BE49-F238E27FC236}">
              <a16:creationId xmlns:a16="http://schemas.microsoft.com/office/drawing/2014/main" id="{00000000-0008-0000-0100-000007000000}"/>
            </a:ext>
          </a:extLst>
        </xdr:cNvPr>
        <xdr:cNvSpPr txBox="1"/>
      </xdr:nvSpPr>
      <xdr:spPr>
        <a:xfrm>
          <a:off x="10594750" y="2603898"/>
          <a:ext cx="2457308" cy="207330"/>
        </a:xfrm>
        <a:prstGeom prst="rect">
          <a:avLst/>
        </a:prstGeom>
      </xdr:spPr>
      <xdr:txBody>
        <a:bodyPr vert="horz" wrap="square" lIns="0" tIns="13335" rIns="0" bIns="0" rtlCol="0">
          <a:spAutoFit/>
        </a:bodyPr>
        <a:lstStyle>
          <a:defPPr>
            <a:defRPr kern="0"/>
          </a:defPPr>
        </a:lstStyle>
        <a:p>
          <a:pPr marL="12700">
            <a:lnSpc>
              <a:spcPct val="100000"/>
            </a:lnSpc>
            <a:spcBef>
              <a:spcPts val="105"/>
            </a:spcBef>
          </a:pPr>
          <a:r>
            <a:rPr lang="it-IT" sz="1100" b="1" spc="-135" baseline="0">
              <a:solidFill>
                <a:srgbClr val="4689B3"/>
              </a:solidFill>
              <a:latin typeface="Avenir Next" panose="020B0503020202020204" pitchFamily="34" charset="0"/>
              <a:cs typeface="Tahoma"/>
            </a:rPr>
            <a:t>I T A  B a n k s  =  + 17 % </a:t>
          </a:r>
          <a:r>
            <a:rPr sz="1100" b="1" spc="5">
              <a:solidFill>
                <a:srgbClr val="4689B3"/>
              </a:solidFill>
              <a:latin typeface="Avenir Next" panose="020B0503020202020204" pitchFamily="34" charset="0"/>
              <a:cs typeface="Tahoma"/>
            </a:rPr>
            <a:t> </a:t>
          </a:r>
          <a:r>
            <a:rPr sz="1100" b="1" spc="-155">
              <a:solidFill>
                <a:srgbClr val="4689B3"/>
              </a:solidFill>
              <a:latin typeface="Avenir Next" panose="020B0503020202020204" pitchFamily="34" charset="0"/>
              <a:cs typeface="Tahoma"/>
            </a:rPr>
            <a:t>T</a:t>
          </a:r>
          <a:r>
            <a:rPr lang="it-IT" sz="1100" b="1" spc="-155">
              <a:solidFill>
                <a:srgbClr val="4689B3"/>
              </a:solidFill>
              <a:latin typeface="Avenir Next" panose="020B0503020202020204" pitchFamily="34" charset="0"/>
              <a:cs typeface="Tahoma"/>
            </a:rPr>
            <a:t> </a:t>
          </a:r>
          <a:r>
            <a:rPr sz="1100" b="1" spc="-155">
              <a:solidFill>
                <a:srgbClr val="4689B3"/>
              </a:solidFill>
              <a:latin typeface="Avenir Next" panose="020B0503020202020204" pitchFamily="34" charset="0"/>
              <a:cs typeface="Tahoma"/>
            </a:rPr>
            <a:t>S</a:t>
          </a:r>
          <a:r>
            <a:rPr lang="it-IT" sz="1100" b="1" spc="-155">
              <a:solidFill>
                <a:srgbClr val="4689B3"/>
              </a:solidFill>
              <a:latin typeface="Avenir Next" panose="020B0503020202020204" pitchFamily="34" charset="0"/>
              <a:cs typeface="Tahoma"/>
            </a:rPr>
            <a:t> </a:t>
          </a:r>
          <a:r>
            <a:rPr sz="1100" b="1" spc="-155">
              <a:solidFill>
                <a:srgbClr val="4689B3"/>
              </a:solidFill>
              <a:latin typeface="Avenir Next" panose="020B0503020202020204" pitchFamily="34" charset="0"/>
              <a:cs typeface="Tahoma"/>
            </a:rPr>
            <a:t>R</a:t>
          </a:r>
          <a:r>
            <a:rPr lang="it-IT" sz="1100" b="1" spc="-155">
              <a:solidFill>
                <a:srgbClr val="4689B3"/>
              </a:solidFill>
              <a:latin typeface="Avenir Next" panose="020B0503020202020204" pitchFamily="34" charset="0"/>
              <a:cs typeface="Tahoma"/>
            </a:rPr>
            <a:t> </a:t>
          </a:r>
          <a:r>
            <a:rPr sz="1100" b="1" spc="-155">
              <a:solidFill>
                <a:srgbClr val="4689B3"/>
              </a:solidFill>
              <a:latin typeface="Avenir Next" panose="020B0503020202020204" pitchFamily="34" charset="0"/>
              <a:cs typeface="Tahoma"/>
            </a:rPr>
            <a:t>:</a:t>
          </a:r>
          <a:r>
            <a:rPr sz="1100" b="1" spc="-5">
              <a:solidFill>
                <a:srgbClr val="4689B3"/>
              </a:solidFill>
              <a:latin typeface="Avenir Next" panose="020B0503020202020204" pitchFamily="34" charset="0"/>
              <a:cs typeface="Tahoma"/>
            </a:rPr>
            <a:t> </a:t>
          </a:r>
          <a:r>
            <a:rPr sz="1100" b="1" spc="-135">
              <a:solidFill>
                <a:srgbClr val="4689B3"/>
              </a:solidFill>
              <a:latin typeface="Avenir Next" panose="020B0503020202020204" pitchFamily="34" charset="0"/>
              <a:cs typeface="Tahoma"/>
            </a:rPr>
            <a:t>6</a:t>
          </a:r>
          <a:r>
            <a:rPr lang="it-IT" sz="1100" b="1" spc="-135">
              <a:solidFill>
                <a:srgbClr val="4689B3"/>
              </a:solidFill>
              <a:latin typeface="Avenir Next" panose="020B0503020202020204" pitchFamily="34" charset="0"/>
              <a:cs typeface="Tahoma"/>
            </a:rPr>
            <a:t> </a:t>
          </a:r>
          <a:r>
            <a:rPr sz="1100" b="1" spc="-135">
              <a:solidFill>
                <a:srgbClr val="4689B3"/>
              </a:solidFill>
              <a:latin typeface="Avenir Next" panose="020B0503020202020204" pitchFamily="34" charset="0"/>
              <a:cs typeface="Tahoma"/>
            </a:rPr>
            <a:t>9</a:t>
          </a:r>
          <a:r>
            <a:rPr lang="it-IT" sz="1100" b="1" spc="-135">
              <a:solidFill>
                <a:srgbClr val="4689B3"/>
              </a:solidFill>
              <a:latin typeface="Avenir Next" panose="020B0503020202020204" pitchFamily="34" charset="0"/>
              <a:cs typeface="Tahoma"/>
            </a:rPr>
            <a:t> </a:t>
          </a:r>
          <a:r>
            <a:rPr sz="1100" b="1" spc="-135">
              <a:solidFill>
                <a:srgbClr val="4689B3"/>
              </a:solidFill>
              <a:latin typeface="Avenir Next" panose="020B0503020202020204" pitchFamily="34" charset="0"/>
              <a:cs typeface="Tahoma"/>
            </a:rPr>
            <a:t>%</a:t>
          </a:r>
          <a:endParaRPr sz="1100">
            <a:latin typeface="Avenir Next" panose="020B0503020202020204" pitchFamily="34" charset="0"/>
            <a:cs typeface="Tahoma"/>
          </a:endParaRPr>
        </a:p>
      </xdr:txBody>
    </xdr:sp>
    <xdr:clientData/>
  </xdr:twoCellAnchor>
  <xdr:twoCellAnchor>
    <xdr:from>
      <xdr:col>9</xdr:col>
      <xdr:colOff>360672</xdr:colOff>
      <xdr:row>14</xdr:row>
      <xdr:rowOff>106321</xdr:rowOff>
    </xdr:from>
    <xdr:to>
      <xdr:col>20</xdr:col>
      <xdr:colOff>297430</xdr:colOff>
      <xdr:row>21</xdr:row>
      <xdr:rowOff>102235</xdr:rowOff>
    </xdr:to>
    <xdr:grpSp>
      <xdr:nvGrpSpPr>
        <xdr:cNvPr id="8" name="object 8">
          <a:extLst>
            <a:ext uri="{FF2B5EF4-FFF2-40B4-BE49-F238E27FC236}">
              <a16:creationId xmlns:a16="http://schemas.microsoft.com/office/drawing/2014/main" id="{00000000-0008-0000-0100-000008000000}"/>
            </a:ext>
          </a:extLst>
        </xdr:cNvPr>
        <xdr:cNvGrpSpPr/>
      </xdr:nvGrpSpPr>
      <xdr:grpSpPr>
        <a:xfrm>
          <a:off x="6690188" y="3424708"/>
          <a:ext cx="7413371" cy="1286398"/>
          <a:chOff x="789431" y="1571244"/>
          <a:chExt cx="7377302" cy="1348740"/>
        </a:xfrm>
      </xdr:grpSpPr>
      <xdr:sp macro="" textlink="">
        <xdr:nvSpPr>
          <xdr:cNvPr id="9" name="object 9">
            <a:extLst>
              <a:ext uri="{FF2B5EF4-FFF2-40B4-BE49-F238E27FC236}">
                <a16:creationId xmlns:a16="http://schemas.microsoft.com/office/drawing/2014/main" id="{00000000-0008-0000-0100-000009000000}"/>
              </a:ext>
            </a:extLst>
          </xdr:cNvPr>
          <xdr:cNvSpPr/>
        </xdr:nvSpPr>
        <xdr:spPr>
          <a:xfrm>
            <a:off x="789431" y="1571244"/>
            <a:ext cx="7368540" cy="1348740"/>
          </a:xfrm>
          <a:custGeom>
            <a:avLst/>
            <a:gdLst/>
            <a:ahLst/>
            <a:cxnLst/>
            <a:rect l="l" t="t" r="r" b="b"/>
            <a:pathLst>
              <a:path w="7368540" h="1348739">
                <a:moveTo>
                  <a:pt x="41148" y="1307591"/>
                </a:moveTo>
                <a:lnTo>
                  <a:pt x="41148" y="0"/>
                </a:lnTo>
              </a:path>
              <a:path w="7368540" h="1348739">
                <a:moveTo>
                  <a:pt x="0" y="1307591"/>
                </a:moveTo>
                <a:lnTo>
                  <a:pt x="41148" y="1307591"/>
                </a:lnTo>
              </a:path>
              <a:path w="7368540" h="1348739">
                <a:moveTo>
                  <a:pt x="0" y="1161288"/>
                </a:moveTo>
                <a:lnTo>
                  <a:pt x="41148" y="1161288"/>
                </a:lnTo>
              </a:path>
              <a:path w="7368540" h="1348739">
                <a:moveTo>
                  <a:pt x="0" y="1016507"/>
                </a:moveTo>
                <a:lnTo>
                  <a:pt x="41148" y="1016507"/>
                </a:lnTo>
              </a:path>
              <a:path w="7368540" h="1348739">
                <a:moveTo>
                  <a:pt x="0" y="871727"/>
                </a:moveTo>
                <a:lnTo>
                  <a:pt x="41148" y="871727"/>
                </a:lnTo>
              </a:path>
              <a:path w="7368540" h="1348739">
                <a:moveTo>
                  <a:pt x="0" y="725423"/>
                </a:moveTo>
                <a:lnTo>
                  <a:pt x="41148" y="725423"/>
                </a:lnTo>
              </a:path>
              <a:path w="7368540" h="1348739">
                <a:moveTo>
                  <a:pt x="0" y="580643"/>
                </a:moveTo>
                <a:lnTo>
                  <a:pt x="41148" y="580643"/>
                </a:lnTo>
              </a:path>
              <a:path w="7368540" h="1348739">
                <a:moveTo>
                  <a:pt x="0" y="435863"/>
                </a:moveTo>
                <a:lnTo>
                  <a:pt x="41148" y="435863"/>
                </a:lnTo>
              </a:path>
              <a:path w="7368540" h="1348739">
                <a:moveTo>
                  <a:pt x="0" y="289559"/>
                </a:moveTo>
                <a:lnTo>
                  <a:pt x="41148" y="289559"/>
                </a:lnTo>
              </a:path>
              <a:path w="7368540" h="1348739">
                <a:moveTo>
                  <a:pt x="0" y="144779"/>
                </a:moveTo>
                <a:lnTo>
                  <a:pt x="41148" y="144779"/>
                </a:lnTo>
              </a:path>
              <a:path w="7368540" h="1348739">
                <a:moveTo>
                  <a:pt x="0" y="0"/>
                </a:moveTo>
                <a:lnTo>
                  <a:pt x="41148" y="0"/>
                </a:lnTo>
              </a:path>
              <a:path w="7368540" h="1348739">
                <a:moveTo>
                  <a:pt x="41148" y="1307591"/>
                </a:moveTo>
                <a:lnTo>
                  <a:pt x="7368540" y="1307591"/>
                </a:lnTo>
              </a:path>
              <a:path w="7368540" h="1348739">
                <a:moveTo>
                  <a:pt x="41148" y="1307591"/>
                </a:moveTo>
                <a:lnTo>
                  <a:pt x="41148" y="1348739"/>
                </a:lnTo>
              </a:path>
              <a:path w="7368540" h="1348739">
                <a:moveTo>
                  <a:pt x="409956" y="1307591"/>
                </a:moveTo>
                <a:lnTo>
                  <a:pt x="409956" y="1348739"/>
                </a:lnTo>
              </a:path>
              <a:path w="7368540" h="1348739">
                <a:moveTo>
                  <a:pt x="772668" y="1307591"/>
                </a:moveTo>
                <a:lnTo>
                  <a:pt x="772668" y="1348739"/>
                </a:lnTo>
              </a:path>
              <a:path w="7368540" h="1348739">
                <a:moveTo>
                  <a:pt x="1141476" y="1307591"/>
                </a:moveTo>
                <a:lnTo>
                  <a:pt x="1141476" y="1348739"/>
                </a:lnTo>
              </a:path>
              <a:path w="7368540" h="1348739">
                <a:moveTo>
                  <a:pt x="1507236" y="1307591"/>
                </a:moveTo>
                <a:lnTo>
                  <a:pt x="1507236" y="1348739"/>
                </a:lnTo>
              </a:path>
              <a:path w="7368540" h="1348739">
                <a:moveTo>
                  <a:pt x="1876044" y="1307591"/>
                </a:moveTo>
                <a:lnTo>
                  <a:pt x="1876044" y="1348739"/>
                </a:lnTo>
              </a:path>
              <a:path w="7368540" h="1348739">
                <a:moveTo>
                  <a:pt x="2238756" y="1307591"/>
                </a:moveTo>
                <a:lnTo>
                  <a:pt x="2238756" y="1348739"/>
                </a:lnTo>
              </a:path>
              <a:path w="7368540" h="1348739">
                <a:moveTo>
                  <a:pt x="2609088" y="1307591"/>
                </a:moveTo>
                <a:lnTo>
                  <a:pt x="2609088" y="1348739"/>
                </a:lnTo>
              </a:path>
              <a:path w="7368540" h="1348739">
                <a:moveTo>
                  <a:pt x="2971800" y="1307591"/>
                </a:moveTo>
                <a:lnTo>
                  <a:pt x="2971800" y="1348739"/>
                </a:lnTo>
              </a:path>
              <a:path w="7368540" h="1348739">
                <a:moveTo>
                  <a:pt x="3340607" y="1307591"/>
                </a:moveTo>
                <a:lnTo>
                  <a:pt x="3340607" y="1348739"/>
                </a:lnTo>
              </a:path>
              <a:path w="7368540" h="1348739">
                <a:moveTo>
                  <a:pt x="3703320" y="1307591"/>
                </a:moveTo>
                <a:lnTo>
                  <a:pt x="3703320" y="1348739"/>
                </a:lnTo>
              </a:path>
              <a:path w="7368540" h="1348739">
                <a:moveTo>
                  <a:pt x="4073652" y="1307591"/>
                </a:moveTo>
                <a:lnTo>
                  <a:pt x="4073652" y="1348739"/>
                </a:lnTo>
              </a:path>
              <a:path w="7368540" h="1348739">
                <a:moveTo>
                  <a:pt x="4437888" y="1307591"/>
                </a:moveTo>
                <a:lnTo>
                  <a:pt x="4437888" y="1348739"/>
                </a:lnTo>
              </a:path>
              <a:path w="7368540" h="1348739">
                <a:moveTo>
                  <a:pt x="4806696" y="1307591"/>
                </a:moveTo>
                <a:lnTo>
                  <a:pt x="4806696" y="1348739"/>
                </a:lnTo>
              </a:path>
              <a:path w="7368540" h="1348739">
                <a:moveTo>
                  <a:pt x="5170932" y="1307591"/>
                </a:moveTo>
                <a:lnTo>
                  <a:pt x="5170932" y="1348739"/>
                </a:lnTo>
              </a:path>
              <a:path w="7368540" h="1348739">
                <a:moveTo>
                  <a:pt x="5539740" y="1307591"/>
                </a:moveTo>
                <a:lnTo>
                  <a:pt x="5539740" y="1348739"/>
                </a:lnTo>
              </a:path>
              <a:path w="7368540" h="1348739">
                <a:moveTo>
                  <a:pt x="5902452" y="1307591"/>
                </a:moveTo>
                <a:lnTo>
                  <a:pt x="5902452" y="1348739"/>
                </a:lnTo>
              </a:path>
              <a:path w="7368540" h="1348739">
                <a:moveTo>
                  <a:pt x="6271260" y="1307591"/>
                </a:moveTo>
                <a:lnTo>
                  <a:pt x="6271260" y="1348739"/>
                </a:lnTo>
              </a:path>
              <a:path w="7368540" h="1348739">
                <a:moveTo>
                  <a:pt x="6635496" y="1307591"/>
                </a:moveTo>
                <a:lnTo>
                  <a:pt x="6635496" y="1348739"/>
                </a:lnTo>
              </a:path>
              <a:path w="7368540" h="1348739">
                <a:moveTo>
                  <a:pt x="7004304" y="1307591"/>
                </a:moveTo>
                <a:lnTo>
                  <a:pt x="7004304" y="1348739"/>
                </a:lnTo>
              </a:path>
              <a:path w="7368540" h="1348739">
                <a:moveTo>
                  <a:pt x="7368540" y="1307591"/>
                </a:moveTo>
                <a:lnTo>
                  <a:pt x="7368540" y="1348739"/>
                </a:lnTo>
              </a:path>
            </a:pathLst>
          </a:custGeom>
          <a:ln w="9525">
            <a:solidFill>
              <a:srgbClr val="858A9C"/>
            </a:solidFill>
          </a:ln>
        </xdr:spPr>
        <xdr:txBody>
          <a:bodyPr wrap="square" lIns="0" tIns="0" rIns="0" bIns="0" rtlCol="0"/>
          <a:lstStyle>
            <a:defPPr>
              <a:defRPr kern="0"/>
            </a:defPPr>
          </a:lstStyle>
          <a:p>
            <a:endParaRPr/>
          </a:p>
        </xdr:txBody>
      </xdr:sp>
      <xdr:pic>
        <xdr:nvPicPr>
          <xdr:cNvPr id="10" name="object 10">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1" cstate="print"/>
          <a:stretch>
            <a:fillRect/>
          </a:stretch>
        </xdr:blipFill>
        <xdr:spPr>
          <a:xfrm>
            <a:off x="821816" y="1762125"/>
            <a:ext cx="7344917" cy="951738"/>
          </a:xfrm>
          <a:prstGeom prst="rect">
            <a:avLst/>
          </a:prstGeom>
        </xdr:spPr>
      </xdr:pic>
    </xdr:grpSp>
    <xdr:clientData/>
  </xdr:twoCellAnchor>
  <xdr:twoCellAnchor>
    <xdr:from>
      <xdr:col>9</xdr:col>
      <xdr:colOff>61481</xdr:colOff>
      <xdr:row>22</xdr:row>
      <xdr:rowOff>44460</xdr:rowOff>
    </xdr:from>
    <xdr:to>
      <xdr:col>9</xdr:col>
      <xdr:colOff>331356</xdr:colOff>
      <xdr:row>23</xdr:row>
      <xdr:rowOff>142664</xdr:rowOff>
    </xdr:to>
    <xdr:sp macro="" textlink="">
      <xdr:nvSpPr>
        <xdr:cNvPr id="11" name="object 11">
          <a:extLst>
            <a:ext uri="{FF2B5EF4-FFF2-40B4-BE49-F238E27FC236}">
              <a16:creationId xmlns:a16="http://schemas.microsoft.com/office/drawing/2014/main" id="{00000000-0008-0000-0100-00000B000000}"/>
            </a:ext>
          </a:extLst>
        </xdr:cNvPr>
        <xdr:cNvSpPr/>
      </xdr:nvSpPr>
      <xdr:spPr>
        <a:xfrm>
          <a:off x="6119381" y="4235460"/>
          <a:ext cx="269875" cy="288704"/>
        </a:xfrm>
        <a:custGeom>
          <a:avLst/>
          <a:gdLst/>
          <a:ahLst/>
          <a:cxnLst/>
          <a:rect l="l" t="t" r="r" b="b"/>
          <a:pathLst>
            <a:path w="269875" h="291464">
              <a:moveTo>
                <a:pt x="6426" y="200660"/>
              </a:moveTo>
              <a:lnTo>
                <a:pt x="0" y="207137"/>
              </a:lnTo>
              <a:lnTo>
                <a:pt x="43154" y="250317"/>
              </a:lnTo>
              <a:lnTo>
                <a:pt x="48425" y="255524"/>
              </a:lnTo>
              <a:lnTo>
                <a:pt x="51741" y="259587"/>
              </a:lnTo>
              <a:lnTo>
                <a:pt x="54140" y="264287"/>
              </a:lnTo>
              <a:lnTo>
                <a:pt x="54539" y="266954"/>
              </a:lnTo>
              <a:lnTo>
                <a:pt x="53771" y="272034"/>
              </a:lnTo>
              <a:lnTo>
                <a:pt x="45567" y="279400"/>
              </a:lnTo>
              <a:lnTo>
                <a:pt x="42392" y="280670"/>
              </a:lnTo>
              <a:lnTo>
                <a:pt x="37947" y="281813"/>
              </a:lnTo>
              <a:lnTo>
                <a:pt x="32232" y="282829"/>
              </a:lnTo>
              <a:lnTo>
                <a:pt x="33832" y="290830"/>
              </a:lnTo>
              <a:lnTo>
                <a:pt x="33934" y="291338"/>
              </a:lnTo>
              <a:lnTo>
                <a:pt x="39522" y="290830"/>
              </a:lnTo>
              <a:lnTo>
                <a:pt x="44081" y="289687"/>
              </a:lnTo>
              <a:lnTo>
                <a:pt x="64071" y="266954"/>
              </a:lnTo>
              <a:lnTo>
                <a:pt x="63822" y="264287"/>
              </a:lnTo>
              <a:lnTo>
                <a:pt x="63715" y="263144"/>
              </a:lnTo>
              <a:lnTo>
                <a:pt x="62153" y="259587"/>
              </a:lnTo>
              <a:lnTo>
                <a:pt x="60579" y="255905"/>
              </a:lnTo>
              <a:lnTo>
                <a:pt x="56451" y="250698"/>
              </a:lnTo>
              <a:lnTo>
                <a:pt x="49784" y="244094"/>
              </a:lnTo>
              <a:lnTo>
                <a:pt x="6426" y="200660"/>
              </a:lnTo>
              <a:close/>
            </a:path>
            <a:path w="269875" h="291464">
              <a:moveTo>
                <a:pt x="43230" y="197612"/>
              </a:moveTo>
              <a:lnTo>
                <a:pt x="42976" y="197612"/>
              </a:lnTo>
              <a:lnTo>
                <a:pt x="36995" y="203581"/>
              </a:lnTo>
              <a:lnTo>
                <a:pt x="66636" y="233172"/>
              </a:lnTo>
              <a:lnTo>
                <a:pt x="87172" y="241554"/>
              </a:lnTo>
              <a:lnTo>
                <a:pt x="97129" y="239014"/>
              </a:lnTo>
              <a:lnTo>
                <a:pt x="101930" y="236093"/>
              </a:lnTo>
              <a:lnTo>
                <a:pt x="105406" y="232664"/>
              </a:lnTo>
              <a:lnTo>
                <a:pt x="85102" y="232664"/>
              </a:lnTo>
              <a:lnTo>
                <a:pt x="81127" y="232029"/>
              </a:lnTo>
              <a:lnTo>
                <a:pt x="77342" y="229997"/>
              </a:lnTo>
              <a:lnTo>
                <a:pt x="74726" y="228473"/>
              </a:lnTo>
              <a:lnTo>
                <a:pt x="70700" y="225044"/>
              </a:lnTo>
              <a:lnTo>
                <a:pt x="65290" y="219710"/>
              </a:lnTo>
              <a:lnTo>
                <a:pt x="43230" y="197612"/>
              </a:lnTo>
              <a:close/>
            </a:path>
            <a:path w="269875" h="291464">
              <a:moveTo>
                <a:pt x="78562" y="162052"/>
              </a:moveTo>
              <a:lnTo>
                <a:pt x="72326" y="168275"/>
              </a:lnTo>
              <a:lnTo>
                <a:pt x="94513" y="190500"/>
              </a:lnTo>
              <a:lnTo>
                <a:pt x="100444" y="196342"/>
              </a:lnTo>
              <a:lnTo>
                <a:pt x="104087" y="200660"/>
              </a:lnTo>
              <a:lnTo>
                <a:pt x="105257" y="203073"/>
              </a:lnTo>
              <a:lnTo>
                <a:pt x="107022" y="206629"/>
              </a:lnTo>
              <a:lnTo>
                <a:pt x="107543" y="210439"/>
              </a:lnTo>
              <a:lnTo>
                <a:pt x="85102" y="232664"/>
              </a:lnTo>
              <a:lnTo>
                <a:pt x="105406" y="232664"/>
              </a:lnTo>
              <a:lnTo>
                <a:pt x="106565" y="231521"/>
              </a:lnTo>
              <a:lnTo>
                <a:pt x="111188" y="226822"/>
              </a:lnTo>
              <a:lnTo>
                <a:pt x="114109" y="222123"/>
              </a:lnTo>
              <a:lnTo>
                <a:pt x="116497" y="212217"/>
              </a:lnTo>
              <a:lnTo>
                <a:pt x="116192" y="207264"/>
              </a:lnTo>
              <a:lnTo>
                <a:pt x="112610" y="197612"/>
              </a:lnTo>
              <a:lnTo>
                <a:pt x="108445" y="191897"/>
              </a:lnTo>
              <a:lnTo>
                <a:pt x="101892" y="185293"/>
              </a:lnTo>
              <a:lnTo>
                <a:pt x="78562" y="162052"/>
              </a:lnTo>
              <a:close/>
            </a:path>
            <a:path w="269875" h="291464">
              <a:moveTo>
                <a:pt x="79590" y="124333"/>
              </a:moveTo>
              <a:lnTo>
                <a:pt x="73482" y="130429"/>
              </a:lnTo>
              <a:lnTo>
                <a:pt x="139331" y="196342"/>
              </a:lnTo>
              <a:lnTo>
                <a:pt x="145453" y="190119"/>
              </a:lnTo>
              <a:lnTo>
                <a:pt x="79590" y="124333"/>
              </a:lnTo>
              <a:close/>
            </a:path>
            <a:path w="269875" h="291464">
              <a:moveTo>
                <a:pt x="151803" y="130175"/>
              </a:moveTo>
              <a:lnTo>
                <a:pt x="127787" y="154178"/>
              </a:lnTo>
              <a:lnTo>
                <a:pt x="133108" y="159512"/>
              </a:lnTo>
              <a:lnTo>
                <a:pt x="157137" y="135509"/>
              </a:lnTo>
              <a:lnTo>
                <a:pt x="151803" y="130175"/>
              </a:lnTo>
              <a:close/>
            </a:path>
            <a:path w="269875" h="291464">
              <a:moveTo>
                <a:pt x="145783" y="61341"/>
              </a:moveTo>
              <a:lnTo>
                <a:pt x="133031" y="74041"/>
              </a:lnTo>
              <a:lnTo>
                <a:pt x="145694" y="74041"/>
              </a:lnTo>
              <a:lnTo>
                <a:pt x="203657" y="131953"/>
              </a:lnTo>
              <a:lnTo>
                <a:pt x="210032" y="125603"/>
              </a:lnTo>
              <a:lnTo>
                <a:pt x="145783" y="61341"/>
              </a:lnTo>
              <a:close/>
            </a:path>
            <a:path w="269875" h="291464">
              <a:moveTo>
                <a:pt x="203962" y="0"/>
              </a:moveTo>
              <a:lnTo>
                <a:pt x="202653" y="1270"/>
              </a:lnTo>
              <a:lnTo>
                <a:pt x="217766" y="88011"/>
              </a:lnTo>
              <a:lnTo>
                <a:pt x="235681" y="70104"/>
              </a:lnTo>
              <a:lnTo>
                <a:pt x="223354" y="70104"/>
              </a:lnTo>
              <a:lnTo>
                <a:pt x="215404" y="24130"/>
              </a:lnTo>
              <a:lnTo>
                <a:pt x="228146" y="24130"/>
              </a:lnTo>
              <a:lnTo>
                <a:pt x="203962" y="0"/>
              </a:lnTo>
              <a:close/>
            </a:path>
            <a:path w="269875" h="291464">
              <a:moveTo>
                <a:pt x="145694" y="74041"/>
              </a:moveTo>
              <a:lnTo>
                <a:pt x="133190" y="74041"/>
              </a:lnTo>
              <a:lnTo>
                <a:pt x="135610" y="84074"/>
              </a:lnTo>
              <a:lnTo>
                <a:pt x="145694" y="74041"/>
              </a:lnTo>
              <a:close/>
            </a:path>
            <a:path w="269875" h="291464">
              <a:moveTo>
                <a:pt x="261344" y="57277"/>
              </a:moveTo>
              <a:lnTo>
                <a:pt x="248513" y="57277"/>
              </a:lnTo>
              <a:lnTo>
                <a:pt x="263448" y="72136"/>
              </a:lnTo>
              <a:lnTo>
                <a:pt x="269824" y="65786"/>
              </a:lnTo>
              <a:lnTo>
                <a:pt x="261344" y="57277"/>
              </a:lnTo>
              <a:close/>
            </a:path>
            <a:path w="269875" h="291464">
              <a:moveTo>
                <a:pt x="228146" y="24130"/>
              </a:moveTo>
              <a:lnTo>
                <a:pt x="215404" y="24130"/>
              </a:lnTo>
              <a:lnTo>
                <a:pt x="242392" y="51181"/>
              </a:lnTo>
              <a:lnTo>
                <a:pt x="223354" y="70104"/>
              </a:lnTo>
              <a:lnTo>
                <a:pt x="235681" y="70104"/>
              </a:lnTo>
              <a:lnTo>
                <a:pt x="248513" y="57277"/>
              </a:lnTo>
              <a:lnTo>
                <a:pt x="261344" y="57277"/>
              </a:lnTo>
              <a:lnTo>
                <a:pt x="254888" y="50800"/>
              </a:lnTo>
              <a:lnTo>
                <a:pt x="261004" y="44704"/>
              </a:lnTo>
              <a:lnTo>
                <a:pt x="248767" y="44704"/>
              </a:lnTo>
              <a:lnTo>
                <a:pt x="228146" y="24130"/>
              </a:lnTo>
              <a:close/>
            </a:path>
            <a:path w="269875" h="291464">
              <a:moveTo>
                <a:pt x="256540" y="36957"/>
              </a:moveTo>
              <a:lnTo>
                <a:pt x="248767" y="44704"/>
              </a:lnTo>
              <a:lnTo>
                <a:pt x="261004" y="44704"/>
              </a:lnTo>
              <a:lnTo>
                <a:pt x="262661" y="43053"/>
              </a:lnTo>
              <a:lnTo>
                <a:pt x="256540" y="36957"/>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9</xdr:col>
      <xdr:colOff>387071</xdr:colOff>
      <xdr:row>22</xdr:row>
      <xdr:rowOff>40778</xdr:rowOff>
    </xdr:from>
    <xdr:to>
      <xdr:col>10</xdr:col>
      <xdr:colOff>20538</xdr:colOff>
      <xdr:row>23</xdr:row>
      <xdr:rowOff>186607</xdr:rowOff>
    </xdr:to>
    <xdr:sp macro="" textlink="">
      <xdr:nvSpPr>
        <xdr:cNvPr id="12" name="object 12">
          <a:extLst>
            <a:ext uri="{FF2B5EF4-FFF2-40B4-BE49-F238E27FC236}">
              <a16:creationId xmlns:a16="http://schemas.microsoft.com/office/drawing/2014/main" id="{00000000-0008-0000-0100-00000C000000}"/>
            </a:ext>
          </a:extLst>
        </xdr:cNvPr>
        <xdr:cNvSpPr/>
      </xdr:nvSpPr>
      <xdr:spPr>
        <a:xfrm>
          <a:off x="6444971" y="4231778"/>
          <a:ext cx="306567" cy="336329"/>
        </a:xfrm>
        <a:custGeom>
          <a:avLst/>
          <a:gdLst/>
          <a:ahLst/>
          <a:cxnLst/>
          <a:rect l="l" t="t" r="r" b="b"/>
          <a:pathLst>
            <a:path w="309880" h="339089">
              <a:moveTo>
                <a:pt x="6540" y="248030"/>
              </a:moveTo>
              <a:lnTo>
                <a:pt x="6287" y="248030"/>
              </a:lnTo>
              <a:lnTo>
                <a:pt x="0" y="254380"/>
              </a:lnTo>
              <a:lnTo>
                <a:pt x="43141" y="297561"/>
              </a:lnTo>
              <a:lnTo>
                <a:pt x="48412" y="302767"/>
              </a:lnTo>
              <a:lnTo>
                <a:pt x="51663" y="306577"/>
              </a:lnTo>
              <a:lnTo>
                <a:pt x="52908" y="309117"/>
              </a:lnTo>
              <a:lnTo>
                <a:pt x="54140" y="311530"/>
              </a:lnTo>
              <a:lnTo>
                <a:pt x="54559" y="314070"/>
              </a:lnTo>
              <a:lnTo>
                <a:pt x="32232" y="330073"/>
              </a:lnTo>
              <a:lnTo>
                <a:pt x="33807" y="337947"/>
              </a:lnTo>
              <a:lnTo>
                <a:pt x="33934" y="338581"/>
              </a:lnTo>
              <a:lnTo>
                <a:pt x="39522" y="337947"/>
              </a:lnTo>
              <a:lnTo>
                <a:pt x="44081" y="336930"/>
              </a:lnTo>
              <a:lnTo>
                <a:pt x="63207" y="318135"/>
              </a:lnTo>
              <a:lnTo>
                <a:pt x="64071" y="314198"/>
              </a:lnTo>
              <a:lnTo>
                <a:pt x="63822" y="311530"/>
              </a:lnTo>
              <a:lnTo>
                <a:pt x="63715" y="310388"/>
              </a:lnTo>
              <a:lnTo>
                <a:pt x="62141" y="306831"/>
              </a:lnTo>
              <a:lnTo>
                <a:pt x="60566" y="303149"/>
              </a:lnTo>
              <a:lnTo>
                <a:pt x="56451" y="297941"/>
              </a:lnTo>
              <a:lnTo>
                <a:pt x="49784" y="291338"/>
              </a:lnTo>
              <a:lnTo>
                <a:pt x="6540" y="248030"/>
              </a:lnTo>
              <a:close/>
            </a:path>
            <a:path w="309880" h="339089">
              <a:moveTo>
                <a:pt x="82118" y="216535"/>
              </a:moveTo>
              <a:lnTo>
                <a:pt x="49505" y="244103"/>
              </a:lnTo>
              <a:lnTo>
                <a:pt x="49169" y="248030"/>
              </a:lnTo>
              <a:lnTo>
                <a:pt x="49092" y="248919"/>
              </a:lnTo>
              <a:lnTo>
                <a:pt x="48983" y="250189"/>
              </a:lnTo>
              <a:lnTo>
                <a:pt x="48907" y="251078"/>
              </a:lnTo>
              <a:lnTo>
                <a:pt x="49589" y="258056"/>
              </a:lnTo>
              <a:lnTo>
                <a:pt x="77219" y="285773"/>
              </a:lnTo>
              <a:lnTo>
                <a:pt x="84200" y="286512"/>
              </a:lnTo>
              <a:lnTo>
                <a:pt x="91156" y="285964"/>
              </a:lnTo>
              <a:lnTo>
                <a:pt x="97564" y="284130"/>
              </a:lnTo>
              <a:lnTo>
                <a:pt x="103424" y="281011"/>
              </a:lnTo>
              <a:lnTo>
                <a:pt x="106746" y="278256"/>
              </a:lnTo>
              <a:lnTo>
                <a:pt x="83078" y="278256"/>
              </a:lnTo>
              <a:lnTo>
                <a:pt x="78303" y="276987"/>
              </a:lnTo>
              <a:lnTo>
                <a:pt x="73063" y="275463"/>
              </a:lnTo>
              <a:lnTo>
                <a:pt x="68999" y="273176"/>
              </a:lnTo>
              <a:lnTo>
                <a:pt x="65659" y="269748"/>
              </a:lnTo>
              <a:lnTo>
                <a:pt x="62280" y="266445"/>
              </a:lnTo>
              <a:lnTo>
                <a:pt x="59931" y="262381"/>
              </a:lnTo>
              <a:lnTo>
                <a:pt x="57289" y="252983"/>
              </a:lnTo>
              <a:lnTo>
                <a:pt x="57293" y="248030"/>
              </a:lnTo>
              <a:lnTo>
                <a:pt x="76649" y="224027"/>
              </a:lnTo>
              <a:lnTo>
                <a:pt x="106457" y="224027"/>
              </a:lnTo>
              <a:lnTo>
                <a:pt x="99851" y="217424"/>
              </a:lnTo>
              <a:lnTo>
                <a:pt x="87820" y="217424"/>
              </a:lnTo>
              <a:lnTo>
                <a:pt x="82118" y="216535"/>
              </a:lnTo>
              <a:close/>
            </a:path>
            <a:path w="309880" h="339089">
              <a:moveTo>
                <a:pt x="106457" y="224027"/>
              </a:moveTo>
              <a:lnTo>
                <a:pt x="91579" y="224027"/>
              </a:lnTo>
              <a:lnTo>
                <a:pt x="97980" y="226822"/>
              </a:lnTo>
              <a:lnTo>
                <a:pt x="103479" y="232282"/>
              </a:lnTo>
              <a:lnTo>
                <a:pt x="111990" y="253745"/>
              </a:lnTo>
              <a:lnTo>
                <a:pt x="110757" y="258056"/>
              </a:lnTo>
              <a:lnTo>
                <a:pt x="109410" y="262889"/>
              </a:lnTo>
              <a:lnTo>
                <a:pt x="107086" y="266953"/>
              </a:lnTo>
              <a:lnTo>
                <a:pt x="100431" y="273557"/>
              </a:lnTo>
              <a:lnTo>
                <a:pt x="96469" y="275843"/>
              </a:lnTo>
              <a:lnTo>
                <a:pt x="91871" y="276987"/>
              </a:lnTo>
              <a:lnTo>
                <a:pt x="87274" y="278256"/>
              </a:lnTo>
              <a:lnTo>
                <a:pt x="106746" y="278256"/>
              </a:lnTo>
              <a:lnTo>
                <a:pt x="108737" y="276605"/>
              </a:lnTo>
              <a:lnTo>
                <a:pt x="118922" y="254380"/>
              </a:lnTo>
              <a:lnTo>
                <a:pt x="118913" y="252983"/>
              </a:lnTo>
              <a:lnTo>
                <a:pt x="118731" y="251078"/>
              </a:lnTo>
              <a:lnTo>
                <a:pt x="118646" y="250189"/>
              </a:lnTo>
              <a:lnTo>
                <a:pt x="118525" y="248919"/>
              </a:lnTo>
              <a:lnTo>
                <a:pt x="118440" y="248030"/>
              </a:lnTo>
              <a:lnTo>
                <a:pt x="130466" y="248030"/>
              </a:lnTo>
              <a:lnTo>
                <a:pt x="106457" y="224027"/>
              </a:lnTo>
              <a:close/>
            </a:path>
            <a:path w="309880" h="339089">
              <a:moveTo>
                <a:pt x="130466" y="248030"/>
              </a:moveTo>
              <a:lnTo>
                <a:pt x="118440" y="248030"/>
              </a:lnTo>
              <a:lnTo>
                <a:pt x="126606" y="256286"/>
              </a:lnTo>
              <a:lnTo>
                <a:pt x="132626" y="250189"/>
              </a:lnTo>
              <a:lnTo>
                <a:pt x="130466" y="248030"/>
              </a:lnTo>
              <a:close/>
            </a:path>
            <a:path w="309880" h="339089">
              <a:moveTo>
                <a:pt x="105308" y="182499"/>
              </a:moveTo>
              <a:lnTo>
                <a:pt x="99199" y="188594"/>
              </a:lnTo>
              <a:lnTo>
                <a:pt x="146710" y="236092"/>
              </a:lnTo>
              <a:lnTo>
                <a:pt x="152831" y="229997"/>
              </a:lnTo>
              <a:lnTo>
                <a:pt x="129146" y="206375"/>
              </a:lnTo>
              <a:lnTo>
                <a:pt x="125120" y="201675"/>
              </a:lnTo>
              <a:lnTo>
                <a:pt x="120675" y="194310"/>
              </a:lnTo>
              <a:lnTo>
                <a:pt x="119938" y="191007"/>
              </a:lnTo>
              <a:lnTo>
                <a:pt x="113830" y="191007"/>
              </a:lnTo>
              <a:lnTo>
                <a:pt x="105308" y="182499"/>
              </a:lnTo>
              <a:close/>
            </a:path>
            <a:path w="309880" h="339089">
              <a:moveTo>
                <a:pt x="85115" y="202691"/>
              </a:moveTo>
              <a:lnTo>
                <a:pt x="79082" y="208787"/>
              </a:lnTo>
              <a:lnTo>
                <a:pt x="87820" y="217424"/>
              </a:lnTo>
              <a:lnTo>
                <a:pt x="99851" y="217424"/>
              </a:lnTo>
              <a:lnTo>
                <a:pt x="85115" y="202691"/>
              </a:lnTo>
              <a:close/>
            </a:path>
            <a:path w="309880" h="339089">
              <a:moveTo>
                <a:pt x="157885" y="164464"/>
              </a:moveTo>
              <a:lnTo>
                <a:pt x="140157" y="164464"/>
              </a:lnTo>
              <a:lnTo>
                <a:pt x="143878" y="165480"/>
              </a:lnTo>
              <a:lnTo>
                <a:pt x="147739" y="167893"/>
              </a:lnTo>
              <a:lnTo>
                <a:pt x="150025" y="169290"/>
              </a:lnTo>
              <a:lnTo>
                <a:pt x="153911" y="172719"/>
              </a:lnTo>
              <a:lnTo>
                <a:pt x="182041" y="200787"/>
              </a:lnTo>
              <a:lnTo>
                <a:pt x="188163" y="194690"/>
              </a:lnTo>
              <a:lnTo>
                <a:pt x="163703" y="170179"/>
              </a:lnTo>
              <a:lnTo>
                <a:pt x="157885" y="164464"/>
              </a:lnTo>
              <a:close/>
            </a:path>
            <a:path w="309880" h="339089">
              <a:moveTo>
                <a:pt x="138633" y="155828"/>
              </a:moveTo>
              <a:lnTo>
                <a:pt x="113017" y="185292"/>
              </a:lnTo>
              <a:lnTo>
                <a:pt x="113830" y="191007"/>
              </a:lnTo>
              <a:lnTo>
                <a:pt x="119938" y="191007"/>
              </a:lnTo>
              <a:lnTo>
                <a:pt x="119570" y="189356"/>
              </a:lnTo>
              <a:lnTo>
                <a:pt x="120535" y="178562"/>
              </a:lnTo>
              <a:lnTo>
                <a:pt x="122618" y="173989"/>
              </a:lnTo>
              <a:lnTo>
                <a:pt x="129552" y="167131"/>
              </a:lnTo>
              <a:lnTo>
                <a:pt x="132969" y="165226"/>
              </a:lnTo>
              <a:lnTo>
                <a:pt x="140157" y="164464"/>
              </a:lnTo>
              <a:lnTo>
                <a:pt x="157885" y="164464"/>
              </a:lnTo>
              <a:lnTo>
                <a:pt x="157238" y="163829"/>
              </a:lnTo>
              <a:lnTo>
                <a:pt x="151828" y="159638"/>
              </a:lnTo>
              <a:lnTo>
                <a:pt x="147459" y="157861"/>
              </a:lnTo>
              <a:lnTo>
                <a:pt x="143090" y="156210"/>
              </a:lnTo>
              <a:lnTo>
                <a:pt x="138633" y="155828"/>
              </a:lnTo>
              <a:close/>
            </a:path>
            <a:path w="309880" h="339089">
              <a:moveTo>
                <a:pt x="194906" y="134365"/>
              </a:moveTo>
              <a:lnTo>
                <a:pt x="170878" y="158368"/>
              </a:lnTo>
              <a:lnTo>
                <a:pt x="176339" y="163829"/>
              </a:lnTo>
              <a:lnTo>
                <a:pt x="176085" y="163829"/>
              </a:lnTo>
              <a:lnTo>
                <a:pt x="200228" y="139700"/>
              </a:lnTo>
              <a:lnTo>
                <a:pt x="194906" y="134365"/>
              </a:lnTo>
              <a:close/>
            </a:path>
            <a:path w="309880" h="339089">
              <a:moveTo>
                <a:pt x="189966" y="64388"/>
              </a:moveTo>
              <a:lnTo>
                <a:pt x="177215" y="77088"/>
              </a:lnTo>
              <a:lnTo>
                <a:pt x="189877" y="77088"/>
              </a:lnTo>
              <a:lnTo>
                <a:pt x="247827" y="135000"/>
              </a:lnTo>
              <a:lnTo>
                <a:pt x="254203" y="128650"/>
              </a:lnTo>
              <a:lnTo>
                <a:pt x="189966" y="64388"/>
              </a:lnTo>
              <a:close/>
            </a:path>
            <a:path w="309880" h="339089">
              <a:moveTo>
                <a:pt x="269278" y="82423"/>
              </a:moveTo>
              <a:lnTo>
                <a:pt x="262686" y="89026"/>
              </a:lnTo>
              <a:lnTo>
                <a:pt x="268452" y="93472"/>
              </a:lnTo>
              <a:lnTo>
                <a:pt x="274713" y="95376"/>
              </a:lnTo>
              <a:lnTo>
                <a:pt x="288251" y="94614"/>
              </a:lnTo>
              <a:lnTo>
                <a:pt x="294246" y="91820"/>
              </a:lnTo>
              <a:lnTo>
                <a:pt x="299710" y="86360"/>
              </a:lnTo>
              <a:lnTo>
                <a:pt x="280543" y="86360"/>
              </a:lnTo>
              <a:lnTo>
                <a:pt x="275094" y="85598"/>
              </a:lnTo>
              <a:lnTo>
                <a:pt x="272249" y="84454"/>
              </a:lnTo>
              <a:lnTo>
                <a:pt x="269278" y="82423"/>
              </a:lnTo>
              <a:close/>
            </a:path>
            <a:path w="309880" h="339089">
              <a:moveTo>
                <a:pt x="189877" y="77088"/>
              </a:moveTo>
              <a:lnTo>
                <a:pt x="177373" y="77088"/>
              </a:lnTo>
              <a:lnTo>
                <a:pt x="179426" y="85598"/>
              </a:lnTo>
              <a:lnTo>
                <a:pt x="179518" y="85978"/>
              </a:lnTo>
              <a:lnTo>
                <a:pt x="179610" y="86360"/>
              </a:lnTo>
              <a:lnTo>
                <a:pt x="179671" y="86613"/>
              </a:lnTo>
              <a:lnTo>
                <a:pt x="179793" y="87122"/>
              </a:lnTo>
              <a:lnTo>
                <a:pt x="189877" y="77088"/>
              </a:lnTo>
              <a:close/>
            </a:path>
            <a:path w="309880" h="339089">
              <a:moveTo>
                <a:pt x="299326" y="41655"/>
              </a:moveTo>
              <a:lnTo>
                <a:pt x="283561" y="41655"/>
              </a:lnTo>
              <a:lnTo>
                <a:pt x="288163" y="43687"/>
              </a:lnTo>
              <a:lnTo>
                <a:pt x="297294" y="52831"/>
              </a:lnTo>
              <a:lnTo>
                <a:pt x="299655" y="58038"/>
              </a:lnTo>
              <a:lnTo>
                <a:pt x="299770" y="58292"/>
              </a:lnTo>
              <a:lnTo>
                <a:pt x="299864" y="61722"/>
              </a:lnTo>
              <a:lnTo>
                <a:pt x="299937" y="64388"/>
              </a:lnTo>
              <a:lnTo>
                <a:pt x="300009" y="67055"/>
              </a:lnTo>
              <a:lnTo>
                <a:pt x="300113" y="70865"/>
              </a:lnTo>
              <a:lnTo>
                <a:pt x="280543" y="86360"/>
              </a:lnTo>
              <a:lnTo>
                <a:pt x="299710" y="86360"/>
              </a:lnTo>
              <a:lnTo>
                <a:pt x="303822" y="82295"/>
              </a:lnTo>
              <a:lnTo>
                <a:pt x="306730" y="77469"/>
              </a:lnTo>
              <a:lnTo>
                <a:pt x="309651" y="67055"/>
              </a:lnTo>
              <a:lnTo>
                <a:pt x="309587" y="61722"/>
              </a:lnTo>
              <a:lnTo>
                <a:pt x="306438" y="50800"/>
              </a:lnTo>
              <a:lnTo>
                <a:pt x="303618" y="46100"/>
              </a:lnTo>
              <a:lnTo>
                <a:pt x="301558" y="43941"/>
              </a:lnTo>
              <a:lnTo>
                <a:pt x="299326" y="41655"/>
              </a:lnTo>
              <a:close/>
            </a:path>
            <a:path w="309880" h="339089">
              <a:moveTo>
                <a:pt x="254342" y="0"/>
              </a:moveTo>
              <a:lnTo>
                <a:pt x="226517" y="27812"/>
              </a:lnTo>
              <a:lnTo>
                <a:pt x="252501" y="65658"/>
              </a:lnTo>
              <a:lnTo>
                <a:pt x="255484" y="58292"/>
              </a:lnTo>
              <a:lnTo>
                <a:pt x="255587" y="58038"/>
              </a:lnTo>
              <a:lnTo>
                <a:pt x="259029" y="52324"/>
              </a:lnTo>
              <a:lnTo>
                <a:pt x="261688" y="49656"/>
              </a:lnTo>
              <a:lnTo>
                <a:pt x="251929" y="49656"/>
              </a:lnTo>
              <a:lnTo>
                <a:pt x="237629" y="28955"/>
              </a:lnTo>
              <a:lnTo>
                <a:pt x="260451" y="6095"/>
              </a:lnTo>
              <a:lnTo>
                <a:pt x="254342" y="0"/>
              </a:lnTo>
              <a:close/>
            </a:path>
            <a:path w="309880" h="339089">
              <a:moveTo>
                <a:pt x="270878" y="32257"/>
              </a:moveTo>
              <a:lnTo>
                <a:pt x="251929" y="49656"/>
              </a:lnTo>
              <a:lnTo>
                <a:pt x="261688" y="49656"/>
              </a:lnTo>
              <a:lnTo>
                <a:pt x="267385" y="43941"/>
              </a:lnTo>
              <a:lnTo>
                <a:pt x="272389" y="41655"/>
              </a:lnTo>
              <a:lnTo>
                <a:pt x="299326" y="41655"/>
              </a:lnTo>
              <a:lnTo>
                <a:pt x="293204" y="35560"/>
              </a:lnTo>
              <a:lnTo>
                <a:pt x="286296" y="32512"/>
              </a:lnTo>
              <a:lnTo>
                <a:pt x="270878" y="32257"/>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10</xdr:col>
      <xdr:colOff>117362</xdr:colOff>
      <xdr:row>22</xdr:row>
      <xdr:rowOff>41413</xdr:rowOff>
    </xdr:from>
    <xdr:to>
      <xdr:col>10</xdr:col>
      <xdr:colOff>382792</xdr:colOff>
      <xdr:row>23</xdr:row>
      <xdr:rowOff>142792</xdr:rowOff>
    </xdr:to>
    <xdr:sp macro="" textlink="">
      <xdr:nvSpPr>
        <xdr:cNvPr id="13" name="object 13">
          <a:extLst>
            <a:ext uri="{FF2B5EF4-FFF2-40B4-BE49-F238E27FC236}">
              <a16:creationId xmlns:a16="http://schemas.microsoft.com/office/drawing/2014/main" id="{00000000-0008-0000-0100-00000D000000}"/>
            </a:ext>
          </a:extLst>
        </xdr:cNvPr>
        <xdr:cNvSpPr/>
      </xdr:nvSpPr>
      <xdr:spPr>
        <a:xfrm>
          <a:off x="6848362" y="4232413"/>
          <a:ext cx="265430" cy="291879"/>
        </a:xfrm>
        <a:custGeom>
          <a:avLst/>
          <a:gdLst/>
          <a:ahLst/>
          <a:cxnLst/>
          <a:rect l="l" t="t" r="r" b="b"/>
          <a:pathLst>
            <a:path w="265430" h="294639">
              <a:moveTo>
                <a:pt x="6350" y="203707"/>
              </a:moveTo>
              <a:lnTo>
                <a:pt x="0" y="210184"/>
              </a:lnTo>
              <a:lnTo>
                <a:pt x="48387" y="258571"/>
              </a:lnTo>
              <a:lnTo>
                <a:pt x="51749" y="262635"/>
              </a:lnTo>
              <a:lnTo>
                <a:pt x="52831" y="264921"/>
              </a:lnTo>
              <a:lnTo>
                <a:pt x="54102" y="267334"/>
              </a:lnTo>
              <a:lnTo>
                <a:pt x="54464" y="270001"/>
              </a:lnTo>
              <a:lnTo>
                <a:pt x="45593" y="282447"/>
              </a:lnTo>
              <a:lnTo>
                <a:pt x="42418" y="283717"/>
              </a:lnTo>
              <a:lnTo>
                <a:pt x="37972" y="284860"/>
              </a:lnTo>
              <a:lnTo>
                <a:pt x="32257" y="285876"/>
              </a:lnTo>
              <a:lnTo>
                <a:pt x="33810" y="293877"/>
              </a:lnTo>
              <a:lnTo>
                <a:pt x="33909" y="294385"/>
              </a:lnTo>
              <a:lnTo>
                <a:pt x="39496" y="293877"/>
              </a:lnTo>
              <a:lnTo>
                <a:pt x="44068" y="292734"/>
              </a:lnTo>
              <a:lnTo>
                <a:pt x="64007" y="270001"/>
              </a:lnTo>
              <a:lnTo>
                <a:pt x="63741" y="267334"/>
              </a:lnTo>
              <a:lnTo>
                <a:pt x="63627" y="266191"/>
              </a:lnTo>
              <a:lnTo>
                <a:pt x="62103" y="262635"/>
              </a:lnTo>
              <a:lnTo>
                <a:pt x="60578" y="258952"/>
              </a:lnTo>
              <a:lnTo>
                <a:pt x="56387" y="253745"/>
              </a:lnTo>
              <a:lnTo>
                <a:pt x="6350" y="203707"/>
              </a:lnTo>
              <a:close/>
            </a:path>
            <a:path w="265430" h="294639">
              <a:moveTo>
                <a:pt x="43179" y="200659"/>
              </a:moveTo>
              <a:lnTo>
                <a:pt x="42926" y="200659"/>
              </a:lnTo>
              <a:lnTo>
                <a:pt x="36956" y="206628"/>
              </a:lnTo>
              <a:lnTo>
                <a:pt x="66547" y="236219"/>
              </a:lnTo>
              <a:lnTo>
                <a:pt x="87122" y="244601"/>
              </a:lnTo>
              <a:lnTo>
                <a:pt x="97154" y="242062"/>
              </a:lnTo>
              <a:lnTo>
                <a:pt x="101853" y="239140"/>
              </a:lnTo>
              <a:lnTo>
                <a:pt x="105378" y="235712"/>
              </a:lnTo>
              <a:lnTo>
                <a:pt x="85090" y="235712"/>
              </a:lnTo>
              <a:lnTo>
                <a:pt x="81153" y="235076"/>
              </a:lnTo>
              <a:lnTo>
                <a:pt x="77343" y="233044"/>
              </a:lnTo>
              <a:lnTo>
                <a:pt x="74675" y="231520"/>
              </a:lnTo>
              <a:lnTo>
                <a:pt x="70738" y="228091"/>
              </a:lnTo>
              <a:lnTo>
                <a:pt x="65278" y="222757"/>
              </a:lnTo>
              <a:lnTo>
                <a:pt x="43179" y="200659"/>
              </a:lnTo>
              <a:close/>
            </a:path>
            <a:path w="265430" h="294639">
              <a:moveTo>
                <a:pt x="78485" y="165100"/>
              </a:moveTo>
              <a:lnTo>
                <a:pt x="72262" y="171322"/>
              </a:lnTo>
              <a:lnTo>
                <a:pt x="94487" y="193547"/>
              </a:lnTo>
              <a:lnTo>
                <a:pt x="100456" y="199389"/>
              </a:lnTo>
              <a:lnTo>
                <a:pt x="104076" y="203707"/>
              </a:lnTo>
              <a:lnTo>
                <a:pt x="105282" y="206120"/>
              </a:lnTo>
              <a:lnTo>
                <a:pt x="106934" y="209676"/>
              </a:lnTo>
              <a:lnTo>
                <a:pt x="107568" y="213487"/>
              </a:lnTo>
              <a:lnTo>
                <a:pt x="106044" y="221487"/>
              </a:lnTo>
              <a:lnTo>
                <a:pt x="104012" y="225170"/>
              </a:lnTo>
              <a:lnTo>
                <a:pt x="97154" y="232028"/>
              </a:lnTo>
              <a:lnTo>
                <a:pt x="93344" y="234187"/>
              </a:lnTo>
              <a:lnTo>
                <a:pt x="85090" y="235712"/>
              </a:lnTo>
              <a:lnTo>
                <a:pt x="105378" y="235712"/>
              </a:lnTo>
              <a:lnTo>
                <a:pt x="116459" y="215264"/>
              </a:lnTo>
              <a:lnTo>
                <a:pt x="116204" y="210312"/>
              </a:lnTo>
              <a:lnTo>
                <a:pt x="114427" y="205485"/>
              </a:lnTo>
              <a:lnTo>
                <a:pt x="112522" y="200659"/>
              </a:lnTo>
              <a:lnTo>
                <a:pt x="108457" y="194944"/>
              </a:lnTo>
              <a:lnTo>
                <a:pt x="78485" y="165100"/>
              </a:lnTo>
              <a:close/>
            </a:path>
            <a:path w="265430" h="294639">
              <a:moveTo>
                <a:pt x="79502" y="127380"/>
              </a:moveTo>
              <a:lnTo>
                <a:pt x="73406" y="133476"/>
              </a:lnTo>
              <a:lnTo>
                <a:pt x="139319" y="199389"/>
              </a:lnTo>
              <a:lnTo>
                <a:pt x="145415" y="193166"/>
              </a:lnTo>
              <a:lnTo>
                <a:pt x="79502" y="127380"/>
              </a:lnTo>
              <a:close/>
            </a:path>
            <a:path w="265430" h="294639">
              <a:moveTo>
                <a:pt x="151765" y="133222"/>
              </a:moveTo>
              <a:lnTo>
                <a:pt x="127762" y="157225"/>
              </a:lnTo>
              <a:lnTo>
                <a:pt x="133096" y="162559"/>
              </a:lnTo>
              <a:lnTo>
                <a:pt x="157099" y="138556"/>
              </a:lnTo>
              <a:lnTo>
                <a:pt x="151765" y="133222"/>
              </a:lnTo>
              <a:close/>
            </a:path>
            <a:path w="265430" h="294639">
              <a:moveTo>
                <a:pt x="145922" y="64515"/>
              </a:moveTo>
              <a:lnTo>
                <a:pt x="145667" y="64515"/>
              </a:lnTo>
              <a:lnTo>
                <a:pt x="132967" y="77088"/>
              </a:lnTo>
              <a:lnTo>
                <a:pt x="145669" y="77088"/>
              </a:lnTo>
              <a:lnTo>
                <a:pt x="203581" y="135000"/>
              </a:lnTo>
              <a:lnTo>
                <a:pt x="210057" y="128650"/>
              </a:lnTo>
              <a:lnTo>
                <a:pt x="145922" y="64515"/>
              </a:lnTo>
              <a:close/>
            </a:path>
            <a:path w="265430" h="294639">
              <a:moveTo>
                <a:pt x="225044" y="82422"/>
              </a:moveTo>
              <a:lnTo>
                <a:pt x="218440" y="89026"/>
              </a:lnTo>
              <a:lnTo>
                <a:pt x="224281" y="93471"/>
              </a:lnTo>
              <a:lnTo>
                <a:pt x="230504" y="95376"/>
              </a:lnTo>
              <a:lnTo>
                <a:pt x="244094" y="94614"/>
              </a:lnTo>
              <a:lnTo>
                <a:pt x="250062" y="91820"/>
              </a:lnTo>
              <a:lnTo>
                <a:pt x="255524" y="86359"/>
              </a:lnTo>
              <a:lnTo>
                <a:pt x="236347" y="86359"/>
              </a:lnTo>
              <a:lnTo>
                <a:pt x="230885" y="85597"/>
              </a:lnTo>
              <a:lnTo>
                <a:pt x="228091" y="84454"/>
              </a:lnTo>
              <a:lnTo>
                <a:pt x="225044" y="82422"/>
              </a:lnTo>
              <a:close/>
            </a:path>
            <a:path w="265430" h="294639">
              <a:moveTo>
                <a:pt x="145669" y="77088"/>
              </a:moveTo>
              <a:lnTo>
                <a:pt x="133127" y="77088"/>
              </a:lnTo>
              <a:lnTo>
                <a:pt x="135635" y="87121"/>
              </a:lnTo>
              <a:lnTo>
                <a:pt x="145669" y="77088"/>
              </a:lnTo>
              <a:close/>
            </a:path>
            <a:path w="265430" h="294639">
              <a:moveTo>
                <a:pt x="255143" y="41655"/>
              </a:moveTo>
              <a:lnTo>
                <a:pt x="239305" y="41655"/>
              </a:lnTo>
              <a:lnTo>
                <a:pt x="243966" y="43687"/>
              </a:lnTo>
              <a:lnTo>
                <a:pt x="253110" y="52831"/>
              </a:lnTo>
              <a:lnTo>
                <a:pt x="255411" y="58038"/>
              </a:lnTo>
              <a:lnTo>
                <a:pt x="255524" y="58292"/>
              </a:lnTo>
              <a:lnTo>
                <a:pt x="255663" y="61721"/>
              </a:lnTo>
              <a:lnTo>
                <a:pt x="255778" y="64515"/>
              </a:lnTo>
              <a:lnTo>
                <a:pt x="236347" y="86359"/>
              </a:lnTo>
              <a:lnTo>
                <a:pt x="255524" y="86359"/>
              </a:lnTo>
              <a:lnTo>
                <a:pt x="259461" y="82422"/>
              </a:lnTo>
              <a:lnTo>
                <a:pt x="262509" y="77469"/>
              </a:lnTo>
              <a:lnTo>
                <a:pt x="264032" y="72262"/>
              </a:lnTo>
              <a:lnTo>
                <a:pt x="265429" y="67055"/>
              </a:lnTo>
              <a:lnTo>
                <a:pt x="265429" y="61721"/>
              </a:lnTo>
              <a:lnTo>
                <a:pt x="263778" y="56260"/>
              </a:lnTo>
              <a:lnTo>
                <a:pt x="262254" y="50800"/>
              </a:lnTo>
              <a:lnTo>
                <a:pt x="259334" y="45846"/>
              </a:lnTo>
              <a:lnTo>
                <a:pt x="255143" y="41655"/>
              </a:lnTo>
              <a:close/>
            </a:path>
            <a:path w="265430" h="294639">
              <a:moveTo>
                <a:pt x="210184" y="0"/>
              </a:moveTo>
              <a:lnTo>
                <a:pt x="182372" y="27812"/>
              </a:lnTo>
              <a:lnTo>
                <a:pt x="208279" y="65658"/>
              </a:lnTo>
              <a:lnTo>
                <a:pt x="211226" y="58292"/>
              </a:lnTo>
              <a:lnTo>
                <a:pt x="211328" y="58038"/>
              </a:lnTo>
              <a:lnTo>
                <a:pt x="214756" y="52323"/>
              </a:lnTo>
              <a:lnTo>
                <a:pt x="217423" y="49656"/>
              </a:lnTo>
              <a:lnTo>
                <a:pt x="207772" y="49656"/>
              </a:lnTo>
              <a:lnTo>
                <a:pt x="193421" y="28955"/>
              </a:lnTo>
              <a:lnTo>
                <a:pt x="216281" y="6095"/>
              </a:lnTo>
              <a:lnTo>
                <a:pt x="210184" y="0"/>
              </a:lnTo>
              <a:close/>
            </a:path>
            <a:path w="265430" h="294639">
              <a:moveTo>
                <a:pt x="226694" y="32257"/>
              </a:moveTo>
              <a:lnTo>
                <a:pt x="207772" y="49656"/>
              </a:lnTo>
              <a:lnTo>
                <a:pt x="217423" y="49656"/>
              </a:lnTo>
              <a:lnTo>
                <a:pt x="223138" y="43941"/>
              </a:lnTo>
              <a:lnTo>
                <a:pt x="228219" y="41655"/>
              </a:lnTo>
              <a:lnTo>
                <a:pt x="255143" y="41655"/>
              </a:lnTo>
              <a:lnTo>
                <a:pt x="249047" y="35559"/>
              </a:lnTo>
              <a:lnTo>
                <a:pt x="242062" y="32512"/>
              </a:lnTo>
              <a:lnTo>
                <a:pt x="226694" y="32257"/>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10</xdr:col>
      <xdr:colOff>442864</xdr:colOff>
      <xdr:row>22</xdr:row>
      <xdr:rowOff>48525</xdr:rowOff>
    </xdr:from>
    <xdr:to>
      <xdr:col>11</xdr:col>
      <xdr:colOff>77601</xdr:colOff>
      <xdr:row>23</xdr:row>
      <xdr:rowOff>186099</xdr:rowOff>
    </xdr:to>
    <xdr:sp macro="" textlink="">
      <xdr:nvSpPr>
        <xdr:cNvPr id="14" name="object 14">
          <a:extLst>
            <a:ext uri="{FF2B5EF4-FFF2-40B4-BE49-F238E27FC236}">
              <a16:creationId xmlns:a16="http://schemas.microsoft.com/office/drawing/2014/main" id="{00000000-0008-0000-0100-00000E000000}"/>
            </a:ext>
          </a:extLst>
        </xdr:cNvPr>
        <xdr:cNvSpPr/>
      </xdr:nvSpPr>
      <xdr:spPr>
        <a:xfrm>
          <a:off x="7173864" y="4239525"/>
          <a:ext cx="307837" cy="328074"/>
        </a:xfrm>
        <a:custGeom>
          <a:avLst/>
          <a:gdLst/>
          <a:ahLst/>
          <a:cxnLst/>
          <a:rect l="l" t="t" r="r" b="b"/>
          <a:pathLst>
            <a:path w="311150" h="330835">
              <a:moveTo>
                <a:pt x="6603" y="240283"/>
              </a:moveTo>
              <a:lnTo>
                <a:pt x="6350" y="240283"/>
              </a:lnTo>
              <a:lnTo>
                <a:pt x="0" y="246633"/>
              </a:lnTo>
              <a:lnTo>
                <a:pt x="43179" y="289813"/>
              </a:lnTo>
              <a:lnTo>
                <a:pt x="48513" y="295020"/>
              </a:lnTo>
              <a:lnTo>
                <a:pt x="51688" y="298830"/>
              </a:lnTo>
              <a:lnTo>
                <a:pt x="52958" y="301370"/>
              </a:lnTo>
              <a:lnTo>
                <a:pt x="54228" y="303783"/>
              </a:lnTo>
              <a:lnTo>
                <a:pt x="54609" y="306323"/>
              </a:lnTo>
              <a:lnTo>
                <a:pt x="32257" y="322325"/>
              </a:lnTo>
              <a:lnTo>
                <a:pt x="34035" y="330834"/>
              </a:lnTo>
              <a:lnTo>
                <a:pt x="56768" y="321563"/>
              </a:lnTo>
              <a:lnTo>
                <a:pt x="60325" y="318134"/>
              </a:lnTo>
              <a:lnTo>
                <a:pt x="62356" y="314451"/>
              </a:lnTo>
              <a:lnTo>
                <a:pt x="63245" y="310388"/>
              </a:lnTo>
              <a:lnTo>
                <a:pt x="64134" y="306450"/>
              </a:lnTo>
              <a:lnTo>
                <a:pt x="63868" y="303783"/>
              </a:lnTo>
              <a:lnTo>
                <a:pt x="63753" y="302640"/>
              </a:lnTo>
              <a:lnTo>
                <a:pt x="62229" y="299084"/>
              </a:lnTo>
              <a:lnTo>
                <a:pt x="60578" y="295401"/>
              </a:lnTo>
              <a:lnTo>
                <a:pt x="56514" y="290194"/>
              </a:lnTo>
              <a:lnTo>
                <a:pt x="49783" y="283590"/>
              </a:lnTo>
              <a:lnTo>
                <a:pt x="6603" y="240283"/>
              </a:lnTo>
              <a:close/>
            </a:path>
            <a:path w="311150" h="330835">
              <a:moveTo>
                <a:pt x="82168" y="208787"/>
              </a:moveTo>
              <a:lnTo>
                <a:pt x="49683" y="235965"/>
              </a:lnTo>
              <a:lnTo>
                <a:pt x="49571" y="236356"/>
              </a:lnTo>
              <a:lnTo>
                <a:pt x="49262" y="240283"/>
              </a:lnTo>
              <a:lnTo>
                <a:pt x="49192" y="241172"/>
              </a:lnTo>
              <a:lnTo>
                <a:pt x="49092" y="242442"/>
              </a:lnTo>
              <a:lnTo>
                <a:pt x="49021" y="243331"/>
              </a:lnTo>
              <a:lnTo>
                <a:pt x="49664" y="250309"/>
              </a:lnTo>
              <a:lnTo>
                <a:pt x="51593" y="256762"/>
              </a:lnTo>
              <a:lnTo>
                <a:pt x="54709" y="262508"/>
              </a:lnTo>
              <a:lnTo>
                <a:pt x="54808" y="262691"/>
              </a:lnTo>
              <a:lnTo>
                <a:pt x="84200" y="278764"/>
              </a:lnTo>
              <a:lnTo>
                <a:pt x="91176" y="278217"/>
              </a:lnTo>
              <a:lnTo>
                <a:pt x="97615" y="276383"/>
              </a:lnTo>
              <a:lnTo>
                <a:pt x="103506" y="273264"/>
              </a:lnTo>
              <a:lnTo>
                <a:pt x="106840" y="270509"/>
              </a:lnTo>
              <a:lnTo>
                <a:pt x="83159" y="270509"/>
              </a:lnTo>
              <a:lnTo>
                <a:pt x="78333" y="269239"/>
              </a:lnTo>
              <a:lnTo>
                <a:pt x="57347" y="240283"/>
              </a:lnTo>
              <a:lnTo>
                <a:pt x="58438" y="236356"/>
              </a:lnTo>
              <a:lnTo>
                <a:pt x="59689" y="231393"/>
              </a:lnTo>
              <a:lnTo>
                <a:pt x="61975" y="227456"/>
              </a:lnTo>
              <a:lnTo>
                <a:pt x="65404" y="224027"/>
              </a:lnTo>
              <a:lnTo>
                <a:pt x="70738" y="218820"/>
              </a:lnTo>
              <a:lnTo>
                <a:pt x="76665" y="216280"/>
              </a:lnTo>
              <a:lnTo>
                <a:pt x="106552" y="216280"/>
              </a:lnTo>
              <a:lnTo>
                <a:pt x="99949" y="209676"/>
              </a:lnTo>
              <a:lnTo>
                <a:pt x="87883" y="209676"/>
              </a:lnTo>
              <a:lnTo>
                <a:pt x="82168" y="208787"/>
              </a:lnTo>
              <a:close/>
            </a:path>
            <a:path w="311150" h="330835">
              <a:moveTo>
                <a:pt x="106552" y="216280"/>
              </a:moveTo>
              <a:lnTo>
                <a:pt x="91693" y="216280"/>
              </a:lnTo>
              <a:lnTo>
                <a:pt x="98043" y="219075"/>
              </a:lnTo>
              <a:lnTo>
                <a:pt x="106425" y="227456"/>
              </a:lnTo>
              <a:lnTo>
                <a:pt x="107263" y="228345"/>
              </a:lnTo>
              <a:lnTo>
                <a:pt x="109600" y="232282"/>
              </a:lnTo>
              <a:lnTo>
                <a:pt x="112140" y="241172"/>
              </a:lnTo>
              <a:lnTo>
                <a:pt x="112102" y="245998"/>
              </a:lnTo>
              <a:lnTo>
                <a:pt x="110785" y="250309"/>
              </a:lnTo>
              <a:lnTo>
                <a:pt x="109473" y="255142"/>
              </a:lnTo>
              <a:lnTo>
                <a:pt x="107187" y="259206"/>
              </a:lnTo>
              <a:lnTo>
                <a:pt x="103758" y="262508"/>
              </a:lnTo>
              <a:lnTo>
                <a:pt x="100456" y="265810"/>
              </a:lnTo>
              <a:lnTo>
                <a:pt x="96519" y="268096"/>
              </a:lnTo>
              <a:lnTo>
                <a:pt x="91947" y="269239"/>
              </a:lnTo>
              <a:lnTo>
                <a:pt x="87375" y="270509"/>
              </a:lnTo>
              <a:lnTo>
                <a:pt x="106840" y="270509"/>
              </a:lnTo>
              <a:lnTo>
                <a:pt x="108838" y="268858"/>
              </a:lnTo>
              <a:lnTo>
                <a:pt x="112521" y="265048"/>
              </a:lnTo>
              <a:lnTo>
                <a:pt x="115315" y="260730"/>
              </a:lnTo>
              <a:lnTo>
                <a:pt x="116839" y="256031"/>
              </a:lnTo>
              <a:lnTo>
                <a:pt x="118490" y="251205"/>
              </a:lnTo>
              <a:lnTo>
                <a:pt x="118937" y="246633"/>
              </a:lnTo>
              <a:lnTo>
                <a:pt x="118931" y="245236"/>
              </a:lnTo>
              <a:lnTo>
                <a:pt x="118761" y="243331"/>
              </a:lnTo>
              <a:lnTo>
                <a:pt x="118682" y="242442"/>
              </a:lnTo>
              <a:lnTo>
                <a:pt x="118570" y="241172"/>
              </a:lnTo>
              <a:lnTo>
                <a:pt x="118490" y="240283"/>
              </a:lnTo>
              <a:lnTo>
                <a:pt x="130555" y="240283"/>
              </a:lnTo>
              <a:lnTo>
                <a:pt x="106552" y="216280"/>
              </a:lnTo>
              <a:close/>
            </a:path>
            <a:path w="311150" h="330835">
              <a:moveTo>
                <a:pt x="130555" y="240283"/>
              </a:moveTo>
              <a:lnTo>
                <a:pt x="118490" y="240283"/>
              </a:lnTo>
              <a:lnTo>
                <a:pt x="126618" y="248538"/>
              </a:lnTo>
              <a:lnTo>
                <a:pt x="132714" y="242442"/>
              </a:lnTo>
              <a:lnTo>
                <a:pt x="130555" y="240283"/>
              </a:lnTo>
              <a:close/>
            </a:path>
            <a:path w="311150" h="330835">
              <a:moveTo>
                <a:pt x="105409" y="174751"/>
              </a:moveTo>
              <a:lnTo>
                <a:pt x="99313" y="180847"/>
              </a:lnTo>
              <a:lnTo>
                <a:pt x="146812" y="228345"/>
              </a:lnTo>
              <a:lnTo>
                <a:pt x="152907" y="222250"/>
              </a:lnTo>
              <a:lnTo>
                <a:pt x="135508" y="204850"/>
              </a:lnTo>
              <a:lnTo>
                <a:pt x="129158" y="198627"/>
              </a:lnTo>
              <a:lnTo>
                <a:pt x="125221" y="193928"/>
              </a:lnTo>
              <a:lnTo>
                <a:pt x="123443" y="191007"/>
              </a:lnTo>
              <a:lnTo>
                <a:pt x="120776" y="186562"/>
              </a:lnTo>
              <a:lnTo>
                <a:pt x="120014" y="183260"/>
              </a:lnTo>
              <a:lnTo>
                <a:pt x="113918" y="183260"/>
              </a:lnTo>
              <a:lnTo>
                <a:pt x="105409" y="174751"/>
              </a:lnTo>
              <a:close/>
            </a:path>
            <a:path w="311150" h="330835">
              <a:moveTo>
                <a:pt x="85216" y="194944"/>
              </a:moveTo>
              <a:lnTo>
                <a:pt x="79120" y="201040"/>
              </a:lnTo>
              <a:lnTo>
                <a:pt x="87883" y="209676"/>
              </a:lnTo>
              <a:lnTo>
                <a:pt x="99949" y="209676"/>
              </a:lnTo>
              <a:lnTo>
                <a:pt x="85216" y="194944"/>
              </a:lnTo>
              <a:close/>
            </a:path>
            <a:path w="311150" h="330835">
              <a:moveTo>
                <a:pt x="157987" y="156717"/>
              </a:moveTo>
              <a:lnTo>
                <a:pt x="140207" y="156717"/>
              </a:lnTo>
              <a:lnTo>
                <a:pt x="143890" y="157733"/>
              </a:lnTo>
              <a:lnTo>
                <a:pt x="150113" y="161543"/>
              </a:lnTo>
              <a:lnTo>
                <a:pt x="153923" y="164972"/>
              </a:lnTo>
              <a:lnTo>
                <a:pt x="182117" y="193039"/>
              </a:lnTo>
              <a:lnTo>
                <a:pt x="188213" y="186943"/>
              </a:lnTo>
              <a:lnTo>
                <a:pt x="157987" y="156717"/>
              </a:lnTo>
              <a:close/>
            </a:path>
            <a:path w="311150" h="330835">
              <a:moveTo>
                <a:pt x="138683" y="148081"/>
              </a:moveTo>
              <a:lnTo>
                <a:pt x="114681" y="167893"/>
              </a:lnTo>
              <a:lnTo>
                <a:pt x="113283" y="172465"/>
              </a:lnTo>
              <a:lnTo>
                <a:pt x="113029" y="177545"/>
              </a:lnTo>
              <a:lnTo>
                <a:pt x="113918" y="183260"/>
              </a:lnTo>
              <a:lnTo>
                <a:pt x="120014" y="183260"/>
              </a:lnTo>
              <a:lnTo>
                <a:pt x="119633" y="181609"/>
              </a:lnTo>
              <a:lnTo>
                <a:pt x="120650" y="170814"/>
              </a:lnTo>
              <a:lnTo>
                <a:pt x="140207" y="156717"/>
              </a:lnTo>
              <a:lnTo>
                <a:pt x="157987" y="156717"/>
              </a:lnTo>
              <a:lnTo>
                <a:pt x="157352" y="156082"/>
              </a:lnTo>
              <a:lnTo>
                <a:pt x="151891" y="151891"/>
              </a:lnTo>
              <a:lnTo>
                <a:pt x="147573" y="150113"/>
              </a:lnTo>
              <a:lnTo>
                <a:pt x="143128" y="148462"/>
              </a:lnTo>
              <a:lnTo>
                <a:pt x="138683" y="148081"/>
              </a:lnTo>
              <a:close/>
            </a:path>
            <a:path w="311150" h="330835">
              <a:moveTo>
                <a:pt x="194944" y="126618"/>
              </a:moveTo>
              <a:lnTo>
                <a:pt x="170941" y="150621"/>
              </a:lnTo>
              <a:lnTo>
                <a:pt x="176402" y="156082"/>
              </a:lnTo>
              <a:lnTo>
                <a:pt x="176149" y="156082"/>
              </a:lnTo>
              <a:lnTo>
                <a:pt x="200278" y="131952"/>
              </a:lnTo>
              <a:lnTo>
                <a:pt x="194944" y="126618"/>
              </a:lnTo>
              <a:close/>
            </a:path>
            <a:path w="311150" h="330835">
              <a:moveTo>
                <a:pt x="189991" y="56641"/>
              </a:moveTo>
              <a:lnTo>
                <a:pt x="177292" y="69341"/>
              </a:lnTo>
              <a:lnTo>
                <a:pt x="189991" y="69341"/>
              </a:lnTo>
              <a:lnTo>
                <a:pt x="247903" y="127253"/>
              </a:lnTo>
              <a:lnTo>
                <a:pt x="254253" y="120903"/>
              </a:lnTo>
              <a:lnTo>
                <a:pt x="189991" y="56641"/>
              </a:lnTo>
              <a:close/>
            </a:path>
            <a:path w="311150" h="330835">
              <a:moveTo>
                <a:pt x="250316" y="0"/>
              </a:moveTo>
              <a:lnTo>
                <a:pt x="241681" y="1777"/>
              </a:lnTo>
              <a:lnTo>
                <a:pt x="251206" y="50418"/>
              </a:lnTo>
              <a:lnTo>
                <a:pt x="252497" y="56641"/>
              </a:lnTo>
              <a:lnTo>
                <a:pt x="252602" y="57150"/>
              </a:lnTo>
              <a:lnTo>
                <a:pt x="254126" y="62610"/>
              </a:lnTo>
              <a:lnTo>
                <a:pt x="255909" y="66293"/>
              </a:lnTo>
              <a:lnTo>
                <a:pt x="257809" y="70484"/>
              </a:lnTo>
              <a:lnTo>
                <a:pt x="280377" y="85216"/>
              </a:lnTo>
              <a:lnTo>
                <a:pt x="284733" y="85216"/>
              </a:lnTo>
              <a:lnTo>
                <a:pt x="289432" y="83819"/>
              </a:lnTo>
              <a:lnTo>
                <a:pt x="294131" y="82550"/>
              </a:lnTo>
              <a:lnTo>
                <a:pt x="298322" y="80136"/>
              </a:lnTo>
              <a:lnTo>
                <a:pt x="301751" y="76580"/>
              </a:lnTo>
              <a:lnTo>
                <a:pt x="302640" y="75691"/>
              </a:lnTo>
              <a:lnTo>
                <a:pt x="276987" y="75691"/>
              </a:lnTo>
              <a:lnTo>
                <a:pt x="272541" y="73786"/>
              </a:lnTo>
              <a:lnTo>
                <a:pt x="265048" y="66293"/>
              </a:lnTo>
              <a:lnTo>
                <a:pt x="263144" y="61848"/>
              </a:lnTo>
              <a:lnTo>
                <a:pt x="263144" y="51307"/>
              </a:lnTo>
              <a:lnTo>
                <a:pt x="265048" y="46735"/>
              </a:lnTo>
              <a:lnTo>
                <a:pt x="268096" y="43687"/>
              </a:lnTo>
              <a:lnTo>
                <a:pt x="259333" y="43687"/>
              </a:lnTo>
              <a:lnTo>
                <a:pt x="250316" y="0"/>
              </a:lnTo>
              <a:close/>
            </a:path>
            <a:path w="311150" h="330835">
              <a:moveTo>
                <a:pt x="189991" y="69341"/>
              </a:moveTo>
              <a:lnTo>
                <a:pt x="177449" y="69341"/>
              </a:lnTo>
              <a:lnTo>
                <a:pt x="179831" y="79375"/>
              </a:lnTo>
              <a:lnTo>
                <a:pt x="189991" y="69341"/>
              </a:lnTo>
              <a:close/>
            </a:path>
            <a:path w="311150" h="330835">
              <a:moveTo>
                <a:pt x="302895" y="37464"/>
              </a:moveTo>
              <a:lnTo>
                <a:pt x="287527" y="37464"/>
              </a:lnTo>
              <a:lnTo>
                <a:pt x="292100" y="39369"/>
              </a:lnTo>
              <a:lnTo>
                <a:pt x="295782" y="43052"/>
              </a:lnTo>
              <a:lnTo>
                <a:pt x="299592" y="46735"/>
              </a:lnTo>
              <a:lnTo>
                <a:pt x="301370" y="51307"/>
              </a:lnTo>
              <a:lnTo>
                <a:pt x="301370" y="61848"/>
              </a:lnTo>
              <a:lnTo>
                <a:pt x="299592" y="66293"/>
              </a:lnTo>
              <a:lnTo>
                <a:pt x="292100" y="73786"/>
              </a:lnTo>
              <a:lnTo>
                <a:pt x="287527" y="75691"/>
              </a:lnTo>
              <a:lnTo>
                <a:pt x="302640" y="75691"/>
              </a:lnTo>
              <a:lnTo>
                <a:pt x="305434" y="72897"/>
              </a:lnTo>
              <a:lnTo>
                <a:pt x="307975" y="68706"/>
              </a:lnTo>
              <a:lnTo>
                <a:pt x="310769" y="58800"/>
              </a:lnTo>
              <a:lnTo>
                <a:pt x="310895" y="53975"/>
              </a:lnTo>
              <a:lnTo>
                <a:pt x="308356" y="44576"/>
              </a:lnTo>
              <a:lnTo>
                <a:pt x="305892" y="40512"/>
              </a:lnTo>
              <a:lnTo>
                <a:pt x="305815" y="40385"/>
              </a:lnTo>
              <a:lnTo>
                <a:pt x="302895" y="37464"/>
              </a:lnTo>
              <a:close/>
            </a:path>
            <a:path w="311150" h="330835">
              <a:moveTo>
                <a:pt x="275970" y="28320"/>
              </a:moveTo>
              <a:lnTo>
                <a:pt x="269747" y="30733"/>
              </a:lnTo>
              <a:lnTo>
                <a:pt x="264667" y="35940"/>
              </a:lnTo>
              <a:lnTo>
                <a:pt x="262635" y="37972"/>
              </a:lnTo>
              <a:lnTo>
                <a:pt x="260946" y="40385"/>
              </a:lnTo>
              <a:lnTo>
                <a:pt x="260857" y="40512"/>
              </a:lnTo>
              <a:lnTo>
                <a:pt x="259333" y="43687"/>
              </a:lnTo>
              <a:lnTo>
                <a:pt x="268096" y="43687"/>
              </a:lnTo>
              <a:lnTo>
                <a:pt x="268731" y="43052"/>
              </a:lnTo>
              <a:lnTo>
                <a:pt x="272541" y="39369"/>
              </a:lnTo>
              <a:lnTo>
                <a:pt x="276987" y="37464"/>
              </a:lnTo>
              <a:lnTo>
                <a:pt x="302895" y="37464"/>
              </a:lnTo>
              <a:lnTo>
                <a:pt x="296798" y="31368"/>
              </a:lnTo>
              <a:lnTo>
                <a:pt x="290448" y="28575"/>
              </a:lnTo>
              <a:lnTo>
                <a:pt x="275970" y="28320"/>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11</xdr:col>
      <xdr:colOff>175136</xdr:colOff>
      <xdr:row>22</xdr:row>
      <xdr:rowOff>49160</xdr:rowOff>
    </xdr:from>
    <xdr:to>
      <xdr:col>11</xdr:col>
      <xdr:colOff>441836</xdr:colOff>
      <xdr:row>23</xdr:row>
      <xdr:rowOff>142919</xdr:rowOff>
    </xdr:to>
    <xdr:sp macro="" textlink="">
      <xdr:nvSpPr>
        <xdr:cNvPr id="15" name="object 15">
          <a:extLst>
            <a:ext uri="{FF2B5EF4-FFF2-40B4-BE49-F238E27FC236}">
              <a16:creationId xmlns:a16="http://schemas.microsoft.com/office/drawing/2014/main" id="{00000000-0008-0000-0100-00000F000000}"/>
            </a:ext>
          </a:extLst>
        </xdr:cNvPr>
        <xdr:cNvSpPr/>
      </xdr:nvSpPr>
      <xdr:spPr>
        <a:xfrm>
          <a:off x="7579236" y="4240160"/>
          <a:ext cx="266700" cy="284259"/>
        </a:xfrm>
        <a:custGeom>
          <a:avLst/>
          <a:gdLst/>
          <a:ahLst/>
          <a:cxnLst/>
          <a:rect l="l" t="t" r="r" b="b"/>
          <a:pathLst>
            <a:path w="266700" h="287020">
              <a:moveTo>
                <a:pt x="6477" y="195961"/>
              </a:moveTo>
              <a:lnTo>
                <a:pt x="0" y="202437"/>
              </a:lnTo>
              <a:lnTo>
                <a:pt x="43180" y="245618"/>
              </a:lnTo>
              <a:lnTo>
                <a:pt x="48514" y="250825"/>
              </a:lnTo>
              <a:lnTo>
                <a:pt x="51755" y="254888"/>
              </a:lnTo>
              <a:lnTo>
                <a:pt x="54229" y="259587"/>
              </a:lnTo>
              <a:lnTo>
                <a:pt x="54591" y="262255"/>
              </a:lnTo>
              <a:lnTo>
                <a:pt x="53848" y="267335"/>
              </a:lnTo>
              <a:lnTo>
                <a:pt x="45593" y="274700"/>
              </a:lnTo>
              <a:lnTo>
                <a:pt x="42418" y="275971"/>
              </a:lnTo>
              <a:lnTo>
                <a:pt x="37973" y="277113"/>
              </a:lnTo>
              <a:lnTo>
                <a:pt x="32258" y="278130"/>
              </a:lnTo>
              <a:lnTo>
                <a:pt x="33929" y="286131"/>
              </a:lnTo>
              <a:lnTo>
                <a:pt x="34036" y="286638"/>
              </a:lnTo>
              <a:lnTo>
                <a:pt x="39624" y="286131"/>
              </a:lnTo>
              <a:lnTo>
                <a:pt x="44196" y="284988"/>
              </a:lnTo>
              <a:lnTo>
                <a:pt x="47625" y="283591"/>
              </a:lnTo>
              <a:lnTo>
                <a:pt x="51181" y="282067"/>
              </a:lnTo>
              <a:lnTo>
                <a:pt x="54229" y="279908"/>
              </a:lnTo>
              <a:lnTo>
                <a:pt x="56768" y="277368"/>
              </a:lnTo>
              <a:lnTo>
                <a:pt x="60325" y="273938"/>
              </a:lnTo>
              <a:lnTo>
                <a:pt x="62356" y="270256"/>
              </a:lnTo>
              <a:lnTo>
                <a:pt x="63246" y="266319"/>
              </a:lnTo>
              <a:lnTo>
                <a:pt x="64135" y="262255"/>
              </a:lnTo>
              <a:lnTo>
                <a:pt x="63868" y="259587"/>
              </a:lnTo>
              <a:lnTo>
                <a:pt x="63754" y="258445"/>
              </a:lnTo>
              <a:lnTo>
                <a:pt x="62230" y="254888"/>
              </a:lnTo>
              <a:lnTo>
                <a:pt x="60579" y="251206"/>
              </a:lnTo>
              <a:lnTo>
                <a:pt x="56515" y="245999"/>
              </a:lnTo>
              <a:lnTo>
                <a:pt x="49784" y="239395"/>
              </a:lnTo>
              <a:lnTo>
                <a:pt x="6477" y="195961"/>
              </a:lnTo>
              <a:close/>
            </a:path>
            <a:path w="266700" h="287020">
              <a:moveTo>
                <a:pt x="43306" y="192912"/>
              </a:moveTo>
              <a:lnTo>
                <a:pt x="43053" y="192912"/>
              </a:lnTo>
              <a:lnTo>
                <a:pt x="37084" y="198882"/>
              </a:lnTo>
              <a:lnTo>
                <a:pt x="66675" y="228473"/>
              </a:lnTo>
              <a:lnTo>
                <a:pt x="87249" y="236855"/>
              </a:lnTo>
              <a:lnTo>
                <a:pt x="97155" y="234315"/>
              </a:lnTo>
              <a:lnTo>
                <a:pt x="101981" y="231394"/>
              </a:lnTo>
              <a:lnTo>
                <a:pt x="105409" y="227965"/>
              </a:lnTo>
              <a:lnTo>
                <a:pt x="85217" y="227965"/>
              </a:lnTo>
              <a:lnTo>
                <a:pt x="81153" y="227330"/>
              </a:lnTo>
              <a:lnTo>
                <a:pt x="77343" y="225298"/>
              </a:lnTo>
              <a:lnTo>
                <a:pt x="74803" y="223774"/>
              </a:lnTo>
              <a:lnTo>
                <a:pt x="70739" y="220345"/>
              </a:lnTo>
              <a:lnTo>
                <a:pt x="43306" y="192912"/>
              </a:lnTo>
              <a:close/>
            </a:path>
            <a:path w="266700" h="287020">
              <a:moveTo>
                <a:pt x="78612" y="157353"/>
              </a:moveTo>
              <a:lnTo>
                <a:pt x="72390" y="163575"/>
              </a:lnTo>
              <a:lnTo>
                <a:pt x="100456" y="191643"/>
              </a:lnTo>
              <a:lnTo>
                <a:pt x="104197" y="195961"/>
              </a:lnTo>
              <a:lnTo>
                <a:pt x="105283" y="198374"/>
              </a:lnTo>
              <a:lnTo>
                <a:pt x="107061" y="201930"/>
              </a:lnTo>
              <a:lnTo>
                <a:pt x="107568" y="205740"/>
              </a:lnTo>
              <a:lnTo>
                <a:pt x="106806" y="209676"/>
              </a:lnTo>
              <a:lnTo>
                <a:pt x="106172" y="213741"/>
              </a:lnTo>
              <a:lnTo>
                <a:pt x="104012" y="217424"/>
              </a:lnTo>
              <a:lnTo>
                <a:pt x="100711" y="220853"/>
              </a:lnTo>
              <a:lnTo>
                <a:pt x="97281" y="224282"/>
              </a:lnTo>
              <a:lnTo>
                <a:pt x="93472" y="226441"/>
              </a:lnTo>
              <a:lnTo>
                <a:pt x="85217" y="227965"/>
              </a:lnTo>
              <a:lnTo>
                <a:pt x="105409" y="227965"/>
              </a:lnTo>
              <a:lnTo>
                <a:pt x="111252" y="222123"/>
              </a:lnTo>
              <a:lnTo>
                <a:pt x="114173" y="217424"/>
              </a:lnTo>
              <a:lnTo>
                <a:pt x="115316" y="212471"/>
              </a:lnTo>
              <a:lnTo>
                <a:pt x="116586" y="207518"/>
              </a:lnTo>
              <a:lnTo>
                <a:pt x="116205" y="202565"/>
              </a:lnTo>
              <a:lnTo>
                <a:pt x="112649" y="192912"/>
              </a:lnTo>
              <a:lnTo>
                <a:pt x="108458" y="187198"/>
              </a:lnTo>
              <a:lnTo>
                <a:pt x="101981" y="180594"/>
              </a:lnTo>
              <a:lnTo>
                <a:pt x="78612" y="157353"/>
              </a:lnTo>
              <a:close/>
            </a:path>
            <a:path w="266700" h="287020">
              <a:moveTo>
                <a:pt x="79629" y="119634"/>
              </a:moveTo>
              <a:lnTo>
                <a:pt x="73533" y="125730"/>
              </a:lnTo>
              <a:lnTo>
                <a:pt x="139446" y="191643"/>
              </a:lnTo>
              <a:lnTo>
                <a:pt x="145542" y="185420"/>
              </a:lnTo>
              <a:lnTo>
                <a:pt x="79629" y="119634"/>
              </a:lnTo>
              <a:close/>
            </a:path>
            <a:path w="266700" h="287020">
              <a:moveTo>
                <a:pt x="151892" y="125475"/>
              </a:moveTo>
              <a:lnTo>
                <a:pt x="127889" y="149479"/>
              </a:lnTo>
              <a:lnTo>
                <a:pt x="133223" y="154812"/>
              </a:lnTo>
              <a:lnTo>
                <a:pt x="157226" y="130810"/>
              </a:lnTo>
              <a:lnTo>
                <a:pt x="151892" y="125475"/>
              </a:lnTo>
              <a:close/>
            </a:path>
            <a:path w="266700" h="287020">
              <a:moveTo>
                <a:pt x="145796" y="56642"/>
              </a:moveTo>
              <a:lnTo>
                <a:pt x="133096" y="69342"/>
              </a:lnTo>
              <a:lnTo>
                <a:pt x="145796" y="69342"/>
              </a:lnTo>
              <a:lnTo>
                <a:pt x="203708" y="127254"/>
              </a:lnTo>
              <a:lnTo>
                <a:pt x="210058" y="120904"/>
              </a:lnTo>
              <a:lnTo>
                <a:pt x="145796" y="56642"/>
              </a:lnTo>
              <a:close/>
            </a:path>
            <a:path w="266700" h="287020">
              <a:moveTo>
                <a:pt x="206248" y="0"/>
              </a:moveTo>
              <a:lnTo>
                <a:pt x="207010" y="50419"/>
              </a:lnTo>
              <a:lnTo>
                <a:pt x="211713" y="66294"/>
              </a:lnTo>
              <a:lnTo>
                <a:pt x="213614" y="70485"/>
              </a:lnTo>
              <a:lnTo>
                <a:pt x="226407" y="82550"/>
              </a:lnTo>
              <a:lnTo>
                <a:pt x="226625" y="82550"/>
              </a:lnTo>
              <a:lnTo>
                <a:pt x="231012" y="83820"/>
              </a:lnTo>
              <a:lnTo>
                <a:pt x="236181" y="85217"/>
              </a:lnTo>
              <a:lnTo>
                <a:pt x="240537" y="85217"/>
              </a:lnTo>
              <a:lnTo>
                <a:pt x="245237" y="83820"/>
              </a:lnTo>
              <a:lnTo>
                <a:pt x="249936" y="82550"/>
              </a:lnTo>
              <a:lnTo>
                <a:pt x="254127" y="80137"/>
              </a:lnTo>
              <a:lnTo>
                <a:pt x="257683" y="76581"/>
              </a:lnTo>
              <a:lnTo>
                <a:pt x="258541" y="75692"/>
              </a:lnTo>
              <a:lnTo>
                <a:pt x="232791" y="75692"/>
              </a:lnTo>
              <a:lnTo>
                <a:pt x="228346" y="73787"/>
              </a:lnTo>
              <a:lnTo>
                <a:pt x="220853" y="66294"/>
              </a:lnTo>
              <a:lnTo>
                <a:pt x="218948" y="61849"/>
              </a:lnTo>
              <a:lnTo>
                <a:pt x="218948" y="51308"/>
              </a:lnTo>
              <a:lnTo>
                <a:pt x="220853" y="46736"/>
              </a:lnTo>
              <a:lnTo>
                <a:pt x="224137" y="43561"/>
              </a:lnTo>
              <a:lnTo>
                <a:pt x="215137" y="43561"/>
              </a:lnTo>
              <a:lnTo>
                <a:pt x="206248" y="0"/>
              </a:lnTo>
              <a:close/>
            </a:path>
            <a:path w="266700" h="287020">
              <a:moveTo>
                <a:pt x="145796" y="69342"/>
              </a:moveTo>
              <a:lnTo>
                <a:pt x="133253" y="69342"/>
              </a:lnTo>
              <a:lnTo>
                <a:pt x="135636" y="79375"/>
              </a:lnTo>
              <a:lnTo>
                <a:pt x="145796" y="69342"/>
              </a:lnTo>
              <a:close/>
            </a:path>
            <a:path w="266700" h="287020">
              <a:moveTo>
                <a:pt x="258699" y="37465"/>
              </a:moveTo>
              <a:lnTo>
                <a:pt x="243331" y="37465"/>
              </a:lnTo>
              <a:lnTo>
                <a:pt x="247904" y="39370"/>
              </a:lnTo>
              <a:lnTo>
                <a:pt x="251714" y="43053"/>
              </a:lnTo>
              <a:lnTo>
                <a:pt x="255397" y="46736"/>
              </a:lnTo>
              <a:lnTo>
                <a:pt x="257302" y="51308"/>
              </a:lnTo>
              <a:lnTo>
                <a:pt x="257302" y="61849"/>
              </a:lnTo>
              <a:lnTo>
                <a:pt x="255397" y="66294"/>
              </a:lnTo>
              <a:lnTo>
                <a:pt x="247904" y="73787"/>
              </a:lnTo>
              <a:lnTo>
                <a:pt x="243459" y="75692"/>
              </a:lnTo>
              <a:lnTo>
                <a:pt x="258541" y="75692"/>
              </a:lnTo>
              <a:lnTo>
                <a:pt x="261239" y="72898"/>
              </a:lnTo>
              <a:lnTo>
                <a:pt x="263779" y="68707"/>
              </a:lnTo>
              <a:lnTo>
                <a:pt x="266573" y="58800"/>
              </a:lnTo>
              <a:lnTo>
                <a:pt x="266700" y="53975"/>
              </a:lnTo>
              <a:lnTo>
                <a:pt x="264160" y="44576"/>
              </a:lnTo>
              <a:lnTo>
                <a:pt x="261696" y="40512"/>
              </a:lnTo>
              <a:lnTo>
                <a:pt x="260604" y="39370"/>
              </a:lnTo>
              <a:lnTo>
                <a:pt x="258699" y="37465"/>
              </a:lnTo>
              <a:close/>
            </a:path>
            <a:path w="266700" h="287020">
              <a:moveTo>
                <a:pt x="246253" y="28575"/>
              </a:moveTo>
              <a:lnTo>
                <a:pt x="231119" y="28575"/>
              </a:lnTo>
              <a:lnTo>
                <a:pt x="225552" y="30734"/>
              </a:lnTo>
              <a:lnTo>
                <a:pt x="220472" y="35941"/>
              </a:lnTo>
              <a:lnTo>
                <a:pt x="218440" y="37973"/>
              </a:lnTo>
              <a:lnTo>
                <a:pt x="216662" y="40512"/>
              </a:lnTo>
              <a:lnTo>
                <a:pt x="215137" y="43561"/>
              </a:lnTo>
              <a:lnTo>
                <a:pt x="224137" y="43561"/>
              </a:lnTo>
              <a:lnTo>
                <a:pt x="228346" y="39370"/>
              </a:lnTo>
              <a:lnTo>
                <a:pt x="232791" y="37465"/>
              </a:lnTo>
              <a:lnTo>
                <a:pt x="258699" y="37465"/>
              </a:lnTo>
              <a:lnTo>
                <a:pt x="252603" y="31242"/>
              </a:lnTo>
              <a:lnTo>
                <a:pt x="246253" y="28575"/>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11</xdr:col>
      <xdr:colOff>500764</xdr:colOff>
      <xdr:row>22</xdr:row>
      <xdr:rowOff>37603</xdr:rowOff>
    </xdr:from>
    <xdr:to>
      <xdr:col>12</xdr:col>
      <xdr:colOff>113911</xdr:colOff>
      <xdr:row>23</xdr:row>
      <xdr:rowOff>186607</xdr:rowOff>
    </xdr:to>
    <xdr:sp macro="" textlink="">
      <xdr:nvSpPr>
        <xdr:cNvPr id="16" name="object 16">
          <a:extLst>
            <a:ext uri="{FF2B5EF4-FFF2-40B4-BE49-F238E27FC236}">
              <a16:creationId xmlns:a16="http://schemas.microsoft.com/office/drawing/2014/main" id="{00000000-0008-0000-0100-000010000000}"/>
            </a:ext>
          </a:extLst>
        </xdr:cNvPr>
        <xdr:cNvSpPr/>
      </xdr:nvSpPr>
      <xdr:spPr>
        <a:xfrm>
          <a:off x="7904864" y="4228603"/>
          <a:ext cx="286247" cy="339504"/>
        </a:xfrm>
        <a:custGeom>
          <a:avLst/>
          <a:gdLst/>
          <a:ahLst/>
          <a:cxnLst/>
          <a:rect l="l" t="t" r="r" b="b"/>
          <a:pathLst>
            <a:path w="289560" h="342264">
              <a:moveTo>
                <a:pt x="6603" y="251205"/>
              </a:moveTo>
              <a:lnTo>
                <a:pt x="6350" y="251205"/>
              </a:lnTo>
              <a:lnTo>
                <a:pt x="0" y="257555"/>
              </a:lnTo>
              <a:lnTo>
                <a:pt x="48387" y="305942"/>
              </a:lnTo>
              <a:lnTo>
                <a:pt x="51688" y="309752"/>
              </a:lnTo>
              <a:lnTo>
                <a:pt x="52958" y="312292"/>
              </a:lnTo>
              <a:lnTo>
                <a:pt x="54101" y="314705"/>
              </a:lnTo>
              <a:lnTo>
                <a:pt x="54609" y="317245"/>
              </a:lnTo>
              <a:lnTo>
                <a:pt x="54228" y="319786"/>
              </a:lnTo>
              <a:lnTo>
                <a:pt x="32257" y="333248"/>
              </a:lnTo>
              <a:lnTo>
                <a:pt x="33785" y="341122"/>
              </a:lnTo>
              <a:lnTo>
                <a:pt x="33908" y="341756"/>
              </a:lnTo>
              <a:lnTo>
                <a:pt x="39496" y="341122"/>
              </a:lnTo>
              <a:lnTo>
                <a:pt x="44068" y="340105"/>
              </a:lnTo>
              <a:lnTo>
                <a:pt x="63245" y="321310"/>
              </a:lnTo>
              <a:lnTo>
                <a:pt x="64134" y="317373"/>
              </a:lnTo>
              <a:lnTo>
                <a:pt x="63868" y="314705"/>
              </a:lnTo>
              <a:lnTo>
                <a:pt x="63753" y="313563"/>
              </a:lnTo>
              <a:lnTo>
                <a:pt x="62102" y="310006"/>
              </a:lnTo>
              <a:lnTo>
                <a:pt x="60578" y="306324"/>
              </a:lnTo>
              <a:lnTo>
                <a:pt x="56514" y="301116"/>
              </a:lnTo>
              <a:lnTo>
                <a:pt x="49783" y="294513"/>
              </a:lnTo>
              <a:lnTo>
                <a:pt x="6603" y="251205"/>
              </a:lnTo>
              <a:close/>
            </a:path>
            <a:path w="289560" h="342264">
              <a:moveTo>
                <a:pt x="82168" y="219710"/>
              </a:moveTo>
              <a:lnTo>
                <a:pt x="49629" y="246887"/>
              </a:lnTo>
              <a:lnTo>
                <a:pt x="49516" y="247278"/>
              </a:lnTo>
              <a:lnTo>
                <a:pt x="49166" y="251205"/>
              </a:lnTo>
              <a:lnTo>
                <a:pt x="49087" y="252094"/>
              </a:lnTo>
              <a:lnTo>
                <a:pt x="48974" y="253364"/>
              </a:lnTo>
              <a:lnTo>
                <a:pt x="70754" y="286924"/>
              </a:lnTo>
              <a:lnTo>
                <a:pt x="84200" y="289687"/>
              </a:lnTo>
              <a:lnTo>
                <a:pt x="91156" y="289139"/>
              </a:lnTo>
              <a:lnTo>
                <a:pt x="97551" y="287305"/>
              </a:lnTo>
              <a:lnTo>
                <a:pt x="103399" y="284186"/>
              </a:lnTo>
              <a:lnTo>
                <a:pt x="106721" y="281431"/>
              </a:lnTo>
              <a:lnTo>
                <a:pt x="83019" y="281431"/>
              </a:lnTo>
              <a:lnTo>
                <a:pt x="78320" y="280162"/>
              </a:lnTo>
              <a:lnTo>
                <a:pt x="73025" y="278638"/>
              </a:lnTo>
              <a:lnTo>
                <a:pt x="68961" y="276351"/>
              </a:lnTo>
              <a:lnTo>
                <a:pt x="65658" y="272923"/>
              </a:lnTo>
              <a:lnTo>
                <a:pt x="62356" y="269620"/>
              </a:lnTo>
              <a:lnTo>
                <a:pt x="59943" y="265556"/>
              </a:lnTo>
              <a:lnTo>
                <a:pt x="58811" y="261365"/>
              </a:lnTo>
              <a:lnTo>
                <a:pt x="57276" y="256158"/>
              </a:lnTo>
              <a:lnTo>
                <a:pt x="76659" y="227202"/>
              </a:lnTo>
              <a:lnTo>
                <a:pt x="106425" y="227202"/>
              </a:lnTo>
              <a:lnTo>
                <a:pt x="99822" y="220599"/>
              </a:lnTo>
              <a:lnTo>
                <a:pt x="87883" y="220599"/>
              </a:lnTo>
              <a:lnTo>
                <a:pt x="82168" y="219710"/>
              </a:lnTo>
              <a:close/>
            </a:path>
            <a:path w="289560" h="342264">
              <a:moveTo>
                <a:pt x="106425" y="227202"/>
              </a:moveTo>
              <a:lnTo>
                <a:pt x="91567" y="227202"/>
              </a:lnTo>
              <a:lnTo>
                <a:pt x="98043" y="229997"/>
              </a:lnTo>
              <a:lnTo>
                <a:pt x="103505" y="235457"/>
              </a:lnTo>
              <a:lnTo>
                <a:pt x="106325" y="238378"/>
              </a:lnTo>
              <a:lnTo>
                <a:pt x="107136" y="239267"/>
              </a:lnTo>
              <a:lnTo>
                <a:pt x="109474" y="243204"/>
              </a:lnTo>
              <a:lnTo>
                <a:pt x="112013" y="252094"/>
              </a:lnTo>
              <a:lnTo>
                <a:pt x="111978" y="256920"/>
              </a:lnTo>
              <a:lnTo>
                <a:pt x="110885" y="260857"/>
              </a:lnTo>
              <a:lnTo>
                <a:pt x="109474" y="266064"/>
              </a:lnTo>
              <a:lnTo>
                <a:pt x="107061" y="270128"/>
              </a:lnTo>
              <a:lnTo>
                <a:pt x="100456" y="276732"/>
              </a:lnTo>
              <a:lnTo>
                <a:pt x="96519" y="279018"/>
              </a:lnTo>
              <a:lnTo>
                <a:pt x="91948" y="280162"/>
              </a:lnTo>
              <a:lnTo>
                <a:pt x="87249" y="281431"/>
              </a:lnTo>
              <a:lnTo>
                <a:pt x="106721" y="281431"/>
              </a:lnTo>
              <a:lnTo>
                <a:pt x="108712" y="279780"/>
              </a:lnTo>
              <a:lnTo>
                <a:pt x="118937" y="257555"/>
              </a:lnTo>
              <a:lnTo>
                <a:pt x="118931" y="256158"/>
              </a:lnTo>
              <a:lnTo>
                <a:pt x="118761" y="254253"/>
              </a:lnTo>
              <a:lnTo>
                <a:pt x="118682" y="253364"/>
              </a:lnTo>
              <a:lnTo>
                <a:pt x="118570" y="252094"/>
              </a:lnTo>
              <a:lnTo>
                <a:pt x="118490" y="251205"/>
              </a:lnTo>
              <a:lnTo>
                <a:pt x="130428" y="251205"/>
              </a:lnTo>
              <a:lnTo>
                <a:pt x="106425" y="227202"/>
              </a:lnTo>
              <a:close/>
            </a:path>
            <a:path w="289560" h="342264">
              <a:moveTo>
                <a:pt x="130428" y="251205"/>
              </a:moveTo>
              <a:lnTo>
                <a:pt x="118490" y="251205"/>
              </a:lnTo>
              <a:lnTo>
                <a:pt x="126618" y="259461"/>
              </a:lnTo>
              <a:lnTo>
                <a:pt x="132587" y="253364"/>
              </a:lnTo>
              <a:lnTo>
                <a:pt x="130428" y="251205"/>
              </a:lnTo>
              <a:close/>
            </a:path>
            <a:path w="289560" h="342264">
              <a:moveTo>
                <a:pt x="105282" y="185674"/>
              </a:moveTo>
              <a:lnTo>
                <a:pt x="99187" y="191769"/>
              </a:lnTo>
              <a:lnTo>
                <a:pt x="146684" y="239267"/>
              </a:lnTo>
              <a:lnTo>
                <a:pt x="152781" y="233172"/>
              </a:lnTo>
              <a:lnTo>
                <a:pt x="129158" y="209550"/>
              </a:lnTo>
              <a:lnTo>
                <a:pt x="125094" y="204850"/>
              </a:lnTo>
              <a:lnTo>
                <a:pt x="123317" y="201929"/>
              </a:lnTo>
              <a:lnTo>
                <a:pt x="120650" y="197485"/>
              </a:lnTo>
              <a:lnTo>
                <a:pt x="119972" y="194182"/>
              </a:lnTo>
              <a:lnTo>
                <a:pt x="113792" y="194182"/>
              </a:lnTo>
              <a:lnTo>
                <a:pt x="105282" y="185674"/>
              </a:lnTo>
              <a:close/>
            </a:path>
            <a:path w="289560" h="342264">
              <a:moveTo>
                <a:pt x="85089" y="205866"/>
              </a:moveTo>
              <a:lnTo>
                <a:pt x="79120" y="211962"/>
              </a:lnTo>
              <a:lnTo>
                <a:pt x="87883" y="220599"/>
              </a:lnTo>
              <a:lnTo>
                <a:pt x="99822" y="220599"/>
              </a:lnTo>
              <a:lnTo>
                <a:pt x="85089" y="205866"/>
              </a:lnTo>
              <a:close/>
            </a:path>
            <a:path w="289560" h="342264">
              <a:moveTo>
                <a:pt x="157873" y="167639"/>
              </a:moveTo>
              <a:lnTo>
                <a:pt x="140207" y="167639"/>
              </a:lnTo>
              <a:lnTo>
                <a:pt x="143890" y="168655"/>
              </a:lnTo>
              <a:lnTo>
                <a:pt x="147700" y="171068"/>
              </a:lnTo>
              <a:lnTo>
                <a:pt x="149987" y="172465"/>
              </a:lnTo>
              <a:lnTo>
                <a:pt x="153924" y="175894"/>
              </a:lnTo>
              <a:lnTo>
                <a:pt x="182118" y="203962"/>
              </a:lnTo>
              <a:lnTo>
                <a:pt x="188213" y="197865"/>
              </a:lnTo>
              <a:lnTo>
                <a:pt x="163702" y="173354"/>
              </a:lnTo>
              <a:lnTo>
                <a:pt x="157873" y="167639"/>
              </a:lnTo>
              <a:close/>
            </a:path>
            <a:path w="289560" h="342264">
              <a:moveTo>
                <a:pt x="138683" y="159003"/>
              </a:moveTo>
              <a:lnTo>
                <a:pt x="114681" y="178815"/>
              </a:lnTo>
              <a:lnTo>
                <a:pt x="113283" y="183387"/>
              </a:lnTo>
              <a:lnTo>
                <a:pt x="113169" y="185674"/>
              </a:lnTo>
              <a:lnTo>
                <a:pt x="113099" y="187070"/>
              </a:lnTo>
              <a:lnTo>
                <a:pt x="113030" y="188467"/>
              </a:lnTo>
              <a:lnTo>
                <a:pt x="113792" y="194182"/>
              </a:lnTo>
              <a:lnTo>
                <a:pt x="119972" y="194182"/>
              </a:lnTo>
              <a:lnTo>
                <a:pt x="119633" y="192531"/>
              </a:lnTo>
              <a:lnTo>
                <a:pt x="119917" y="188467"/>
              </a:lnTo>
              <a:lnTo>
                <a:pt x="140207" y="167639"/>
              </a:lnTo>
              <a:lnTo>
                <a:pt x="157873" y="167639"/>
              </a:lnTo>
              <a:lnTo>
                <a:pt x="157225" y="167004"/>
              </a:lnTo>
              <a:lnTo>
                <a:pt x="151892" y="162813"/>
              </a:lnTo>
              <a:lnTo>
                <a:pt x="147446" y="161036"/>
              </a:lnTo>
              <a:lnTo>
                <a:pt x="143128" y="159385"/>
              </a:lnTo>
              <a:lnTo>
                <a:pt x="138683" y="159003"/>
              </a:lnTo>
              <a:close/>
            </a:path>
            <a:path w="289560" h="342264">
              <a:moveTo>
                <a:pt x="194944" y="137540"/>
              </a:moveTo>
              <a:lnTo>
                <a:pt x="170942" y="161543"/>
              </a:lnTo>
              <a:lnTo>
                <a:pt x="176402" y="167004"/>
              </a:lnTo>
              <a:lnTo>
                <a:pt x="176149" y="167004"/>
              </a:lnTo>
              <a:lnTo>
                <a:pt x="200278" y="142875"/>
              </a:lnTo>
              <a:lnTo>
                <a:pt x="194944" y="137540"/>
              </a:lnTo>
              <a:close/>
            </a:path>
            <a:path w="289560" h="342264">
              <a:moveTo>
                <a:pt x="189992" y="67563"/>
              </a:moveTo>
              <a:lnTo>
                <a:pt x="177292" y="80263"/>
              </a:lnTo>
              <a:lnTo>
                <a:pt x="189864" y="80263"/>
              </a:lnTo>
              <a:lnTo>
                <a:pt x="247903" y="138175"/>
              </a:lnTo>
              <a:lnTo>
                <a:pt x="254253" y="131825"/>
              </a:lnTo>
              <a:lnTo>
                <a:pt x="189992" y="67563"/>
              </a:lnTo>
              <a:close/>
            </a:path>
            <a:path w="289560" h="342264">
              <a:moveTo>
                <a:pt x="262625" y="16128"/>
              </a:moveTo>
              <a:lnTo>
                <a:pt x="253619" y="16128"/>
              </a:lnTo>
              <a:lnTo>
                <a:pt x="280924" y="102869"/>
              </a:lnTo>
              <a:lnTo>
                <a:pt x="289051" y="100202"/>
              </a:lnTo>
              <a:lnTo>
                <a:pt x="262625" y="16128"/>
              </a:lnTo>
              <a:close/>
            </a:path>
            <a:path w="289560" h="342264">
              <a:moveTo>
                <a:pt x="189864" y="80263"/>
              </a:moveTo>
              <a:lnTo>
                <a:pt x="177449" y="80263"/>
              </a:lnTo>
              <a:lnTo>
                <a:pt x="179831" y="90297"/>
              </a:lnTo>
              <a:lnTo>
                <a:pt x="189864" y="80263"/>
              </a:lnTo>
              <a:close/>
            </a:path>
            <a:path w="289560" h="342264">
              <a:moveTo>
                <a:pt x="257556" y="0"/>
              </a:moveTo>
              <a:lnTo>
                <a:pt x="216788" y="40766"/>
              </a:lnTo>
              <a:lnTo>
                <a:pt x="222884" y="46862"/>
              </a:lnTo>
              <a:lnTo>
                <a:pt x="253619" y="16128"/>
              </a:lnTo>
              <a:lnTo>
                <a:pt x="262625" y="16128"/>
              </a:lnTo>
              <a:lnTo>
                <a:pt x="257556" y="0"/>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12</xdr:col>
      <xdr:colOff>231005</xdr:colOff>
      <xdr:row>22</xdr:row>
      <xdr:rowOff>38238</xdr:rowOff>
    </xdr:from>
    <xdr:to>
      <xdr:col>12</xdr:col>
      <xdr:colOff>476115</xdr:colOff>
      <xdr:row>23</xdr:row>
      <xdr:rowOff>142792</xdr:rowOff>
    </xdr:to>
    <xdr:sp macro="" textlink="">
      <xdr:nvSpPr>
        <xdr:cNvPr id="17" name="object 17">
          <a:extLst>
            <a:ext uri="{FF2B5EF4-FFF2-40B4-BE49-F238E27FC236}">
              <a16:creationId xmlns:a16="http://schemas.microsoft.com/office/drawing/2014/main" id="{00000000-0008-0000-0100-000011000000}"/>
            </a:ext>
          </a:extLst>
        </xdr:cNvPr>
        <xdr:cNvSpPr/>
      </xdr:nvSpPr>
      <xdr:spPr>
        <a:xfrm>
          <a:off x="8308205" y="4229238"/>
          <a:ext cx="245110" cy="295054"/>
        </a:xfrm>
        <a:custGeom>
          <a:avLst/>
          <a:gdLst/>
          <a:ahLst/>
          <a:cxnLst/>
          <a:rect l="l" t="t" r="r" b="b"/>
          <a:pathLst>
            <a:path w="245110" h="297814">
              <a:moveTo>
                <a:pt x="6477" y="206882"/>
              </a:moveTo>
              <a:lnTo>
                <a:pt x="0" y="213359"/>
              </a:lnTo>
              <a:lnTo>
                <a:pt x="43180" y="256539"/>
              </a:lnTo>
              <a:lnTo>
                <a:pt x="48514" y="261746"/>
              </a:lnTo>
              <a:lnTo>
                <a:pt x="51755" y="265810"/>
              </a:lnTo>
              <a:lnTo>
                <a:pt x="54229" y="270509"/>
              </a:lnTo>
              <a:lnTo>
                <a:pt x="54591" y="273176"/>
              </a:lnTo>
              <a:lnTo>
                <a:pt x="53848" y="278256"/>
              </a:lnTo>
              <a:lnTo>
                <a:pt x="52705" y="280415"/>
              </a:lnTo>
              <a:lnTo>
                <a:pt x="49403" y="283717"/>
              </a:lnTo>
              <a:lnTo>
                <a:pt x="47752" y="284860"/>
              </a:lnTo>
              <a:lnTo>
                <a:pt x="45593" y="285622"/>
              </a:lnTo>
              <a:lnTo>
                <a:pt x="42418" y="286892"/>
              </a:lnTo>
              <a:lnTo>
                <a:pt x="37973" y="288035"/>
              </a:lnTo>
              <a:lnTo>
                <a:pt x="32258" y="289051"/>
              </a:lnTo>
              <a:lnTo>
                <a:pt x="33810" y="297052"/>
              </a:lnTo>
              <a:lnTo>
                <a:pt x="33909" y="297560"/>
              </a:lnTo>
              <a:lnTo>
                <a:pt x="39497" y="297052"/>
              </a:lnTo>
              <a:lnTo>
                <a:pt x="44069" y="295909"/>
              </a:lnTo>
              <a:lnTo>
                <a:pt x="64135" y="273176"/>
              </a:lnTo>
              <a:lnTo>
                <a:pt x="63868" y="270509"/>
              </a:lnTo>
              <a:lnTo>
                <a:pt x="63754" y="269366"/>
              </a:lnTo>
              <a:lnTo>
                <a:pt x="62230" y="265810"/>
              </a:lnTo>
              <a:lnTo>
                <a:pt x="60579" y="262127"/>
              </a:lnTo>
              <a:lnTo>
                <a:pt x="56515" y="256920"/>
              </a:lnTo>
              <a:lnTo>
                <a:pt x="49784" y="250316"/>
              </a:lnTo>
              <a:lnTo>
                <a:pt x="6477" y="206882"/>
              </a:lnTo>
              <a:close/>
            </a:path>
            <a:path w="245110" h="297814">
              <a:moveTo>
                <a:pt x="43306" y="203834"/>
              </a:moveTo>
              <a:lnTo>
                <a:pt x="43053" y="203834"/>
              </a:lnTo>
              <a:lnTo>
                <a:pt x="37084" y="209803"/>
              </a:lnTo>
              <a:lnTo>
                <a:pt x="66675" y="239394"/>
              </a:lnTo>
              <a:lnTo>
                <a:pt x="87249" y="247776"/>
              </a:lnTo>
              <a:lnTo>
                <a:pt x="97155" y="245237"/>
              </a:lnTo>
              <a:lnTo>
                <a:pt x="101981" y="242315"/>
              </a:lnTo>
              <a:lnTo>
                <a:pt x="105409" y="238887"/>
              </a:lnTo>
              <a:lnTo>
                <a:pt x="85090" y="238887"/>
              </a:lnTo>
              <a:lnTo>
                <a:pt x="81153" y="238251"/>
              </a:lnTo>
              <a:lnTo>
                <a:pt x="77343" y="236219"/>
              </a:lnTo>
              <a:lnTo>
                <a:pt x="74803" y="234695"/>
              </a:lnTo>
              <a:lnTo>
                <a:pt x="70739" y="231266"/>
              </a:lnTo>
              <a:lnTo>
                <a:pt x="65278" y="225932"/>
              </a:lnTo>
              <a:lnTo>
                <a:pt x="43306" y="203834"/>
              </a:lnTo>
              <a:close/>
            </a:path>
            <a:path w="245110" h="297814">
              <a:moveTo>
                <a:pt x="78613" y="168275"/>
              </a:moveTo>
              <a:lnTo>
                <a:pt x="72390" y="174497"/>
              </a:lnTo>
              <a:lnTo>
                <a:pt x="94488" y="196722"/>
              </a:lnTo>
              <a:lnTo>
                <a:pt x="100457" y="202564"/>
              </a:lnTo>
              <a:lnTo>
                <a:pt x="104076" y="206882"/>
              </a:lnTo>
              <a:lnTo>
                <a:pt x="107061" y="212851"/>
              </a:lnTo>
              <a:lnTo>
                <a:pt x="107569" y="216662"/>
              </a:lnTo>
              <a:lnTo>
                <a:pt x="106807" y="220598"/>
              </a:lnTo>
              <a:lnTo>
                <a:pt x="106172" y="224662"/>
              </a:lnTo>
              <a:lnTo>
                <a:pt x="104013" y="228345"/>
              </a:lnTo>
              <a:lnTo>
                <a:pt x="100584" y="231775"/>
              </a:lnTo>
              <a:lnTo>
                <a:pt x="97282" y="235203"/>
              </a:lnTo>
              <a:lnTo>
                <a:pt x="93472" y="237362"/>
              </a:lnTo>
              <a:lnTo>
                <a:pt x="85090" y="238887"/>
              </a:lnTo>
              <a:lnTo>
                <a:pt x="105409" y="238887"/>
              </a:lnTo>
              <a:lnTo>
                <a:pt x="111252" y="233044"/>
              </a:lnTo>
              <a:lnTo>
                <a:pt x="114173" y="228345"/>
              </a:lnTo>
              <a:lnTo>
                <a:pt x="115316" y="223392"/>
              </a:lnTo>
              <a:lnTo>
                <a:pt x="116586" y="218439"/>
              </a:lnTo>
              <a:lnTo>
                <a:pt x="116205" y="213487"/>
              </a:lnTo>
              <a:lnTo>
                <a:pt x="112649" y="203834"/>
              </a:lnTo>
              <a:lnTo>
                <a:pt x="108458" y="198119"/>
              </a:lnTo>
              <a:lnTo>
                <a:pt x="101981" y="191515"/>
              </a:lnTo>
              <a:lnTo>
                <a:pt x="78613" y="168275"/>
              </a:lnTo>
              <a:close/>
            </a:path>
            <a:path w="245110" h="297814">
              <a:moveTo>
                <a:pt x="79629" y="130555"/>
              </a:moveTo>
              <a:lnTo>
                <a:pt x="73533" y="136651"/>
              </a:lnTo>
              <a:lnTo>
                <a:pt x="139319" y="202564"/>
              </a:lnTo>
              <a:lnTo>
                <a:pt x="145542" y="196341"/>
              </a:lnTo>
              <a:lnTo>
                <a:pt x="79629" y="130555"/>
              </a:lnTo>
              <a:close/>
            </a:path>
            <a:path w="245110" h="297814">
              <a:moveTo>
                <a:pt x="151892" y="136397"/>
              </a:moveTo>
              <a:lnTo>
                <a:pt x="127762" y="160400"/>
              </a:lnTo>
              <a:lnTo>
                <a:pt x="133096" y="165734"/>
              </a:lnTo>
              <a:lnTo>
                <a:pt x="157226" y="141731"/>
              </a:lnTo>
              <a:lnTo>
                <a:pt x="151892" y="136397"/>
              </a:lnTo>
              <a:close/>
            </a:path>
            <a:path w="245110" h="297814">
              <a:moveTo>
                <a:pt x="145796" y="67563"/>
              </a:moveTo>
              <a:lnTo>
                <a:pt x="133096" y="80263"/>
              </a:lnTo>
              <a:lnTo>
                <a:pt x="145669" y="80263"/>
              </a:lnTo>
              <a:lnTo>
                <a:pt x="203708" y="138175"/>
              </a:lnTo>
              <a:lnTo>
                <a:pt x="210058" y="131825"/>
              </a:lnTo>
              <a:lnTo>
                <a:pt x="145796" y="67563"/>
              </a:lnTo>
              <a:close/>
            </a:path>
            <a:path w="245110" h="297814">
              <a:moveTo>
                <a:pt x="218429" y="16128"/>
              </a:moveTo>
              <a:lnTo>
                <a:pt x="209423" y="16128"/>
              </a:lnTo>
              <a:lnTo>
                <a:pt x="236855" y="102869"/>
              </a:lnTo>
              <a:lnTo>
                <a:pt x="244856" y="100202"/>
              </a:lnTo>
              <a:lnTo>
                <a:pt x="218429" y="16128"/>
              </a:lnTo>
              <a:close/>
            </a:path>
            <a:path w="245110" h="297814">
              <a:moveTo>
                <a:pt x="145669" y="80263"/>
              </a:moveTo>
              <a:lnTo>
                <a:pt x="133253" y="80263"/>
              </a:lnTo>
              <a:lnTo>
                <a:pt x="135636" y="90296"/>
              </a:lnTo>
              <a:lnTo>
                <a:pt x="145669" y="80263"/>
              </a:lnTo>
              <a:close/>
            </a:path>
            <a:path w="245110" h="297814">
              <a:moveTo>
                <a:pt x="213360" y="0"/>
              </a:moveTo>
              <a:lnTo>
                <a:pt x="172593" y="40766"/>
              </a:lnTo>
              <a:lnTo>
                <a:pt x="178689" y="46862"/>
              </a:lnTo>
              <a:lnTo>
                <a:pt x="209423" y="16128"/>
              </a:lnTo>
              <a:lnTo>
                <a:pt x="218429" y="16128"/>
              </a:lnTo>
              <a:lnTo>
                <a:pt x="213360" y="0"/>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12</xdr:col>
      <xdr:colOff>556633</xdr:colOff>
      <xdr:row>22</xdr:row>
      <xdr:rowOff>49795</xdr:rowOff>
    </xdr:from>
    <xdr:to>
      <xdr:col>13</xdr:col>
      <xdr:colOff>191370</xdr:colOff>
      <xdr:row>23</xdr:row>
      <xdr:rowOff>186099</xdr:rowOff>
    </xdr:to>
    <xdr:sp macro="" textlink="">
      <xdr:nvSpPr>
        <xdr:cNvPr id="18" name="object 18">
          <a:extLst>
            <a:ext uri="{FF2B5EF4-FFF2-40B4-BE49-F238E27FC236}">
              <a16:creationId xmlns:a16="http://schemas.microsoft.com/office/drawing/2014/main" id="{00000000-0008-0000-0100-000012000000}"/>
            </a:ext>
          </a:extLst>
        </xdr:cNvPr>
        <xdr:cNvSpPr/>
      </xdr:nvSpPr>
      <xdr:spPr>
        <a:xfrm>
          <a:off x="8633833" y="4240795"/>
          <a:ext cx="307837" cy="326804"/>
        </a:xfrm>
        <a:custGeom>
          <a:avLst/>
          <a:gdLst/>
          <a:ahLst/>
          <a:cxnLst/>
          <a:rect l="l" t="t" r="r" b="b"/>
          <a:pathLst>
            <a:path w="311150" h="329564">
              <a:moveTo>
                <a:pt x="6476" y="239013"/>
              </a:moveTo>
              <a:lnTo>
                <a:pt x="6225" y="239013"/>
              </a:lnTo>
              <a:lnTo>
                <a:pt x="0" y="245363"/>
              </a:lnTo>
              <a:lnTo>
                <a:pt x="48387" y="293750"/>
              </a:lnTo>
              <a:lnTo>
                <a:pt x="51688" y="297561"/>
              </a:lnTo>
              <a:lnTo>
                <a:pt x="52958" y="300100"/>
              </a:lnTo>
              <a:lnTo>
                <a:pt x="54101" y="302513"/>
              </a:lnTo>
              <a:lnTo>
                <a:pt x="54610" y="305053"/>
              </a:lnTo>
              <a:lnTo>
                <a:pt x="54101" y="307594"/>
              </a:lnTo>
              <a:lnTo>
                <a:pt x="53720" y="310261"/>
              </a:lnTo>
              <a:lnTo>
                <a:pt x="32257" y="321056"/>
              </a:lnTo>
              <a:lnTo>
                <a:pt x="33785" y="328930"/>
              </a:lnTo>
              <a:lnTo>
                <a:pt x="33908" y="329564"/>
              </a:lnTo>
              <a:lnTo>
                <a:pt x="39496" y="328930"/>
              </a:lnTo>
              <a:lnTo>
                <a:pt x="44068" y="327913"/>
              </a:lnTo>
              <a:lnTo>
                <a:pt x="64007" y="305181"/>
              </a:lnTo>
              <a:lnTo>
                <a:pt x="63830" y="302513"/>
              </a:lnTo>
              <a:lnTo>
                <a:pt x="63754" y="301371"/>
              </a:lnTo>
              <a:lnTo>
                <a:pt x="62102" y="297814"/>
              </a:lnTo>
              <a:lnTo>
                <a:pt x="60579" y="294132"/>
              </a:lnTo>
              <a:lnTo>
                <a:pt x="56387" y="288925"/>
              </a:lnTo>
              <a:lnTo>
                <a:pt x="6476" y="239013"/>
              </a:lnTo>
              <a:close/>
            </a:path>
            <a:path w="311150" h="329564">
              <a:moveTo>
                <a:pt x="82168" y="207518"/>
              </a:moveTo>
              <a:lnTo>
                <a:pt x="49629" y="234696"/>
              </a:lnTo>
              <a:lnTo>
                <a:pt x="49516" y="235086"/>
              </a:lnTo>
              <a:lnTo>
                <a:pt x="49166" y="239013"/>
              </a:lnTo>
              <a:lnTo>
                <a:pt x="49087" y="239902"/>
              </a:lnTo>
              <a:lnTo>
                <a:pt x="48974" y="241173"/>
              </a:lnTo>
              <a:lnTo>
                <a:pt x="70754" y="274732"/>
              </a:lnTo>
              <a:lnTo>
                <a:pt x="84200" y="277495"/>
              </a:lnTo>
              <a:lnTo>
                <a:pt x="91156" y="276947"/>
              </a:lnTo>
              <a:lnTo>
                <a:pt x="97551" y="275113"/>
              </a:lnTo>
              <a:lnTo>
                <a:pt x="103399" y="271994"/>
              </a:lnTo>
              <a:lnTo>
                <a:pt x="106721" y="269239"/>
              </a:lnTo>
              <a:lnTo>
                <a:pt x="83019" y="269239"/>
              </a:lnTo>
              <a:lnTo>
                <a:pt x="78320" y="267970"/>
              </a:lnTo>
              <a:lnTo>
                <a:pt x="73025" y="266446"/>
              </a:lnTo>
              <a:lnTo>
                <a:pt x="68961" y="264160"/>
              </a:lnTo>
              <a:lnTo>
                <a:pt x="65658" y="260731"/>
              </a:lnTo>
              <a:lnTo>
                <a:pt x="62230" y="257428"/>
              </a:lnTo>
              <a:lnTo>
                <a:pt x="59943" y="253364"/>
              </a:lnTo>
              <a:lnTo>
                <a:pt x="58698" y="249174"/>
              </a:lnTo>
              <a:lnTo>
                <a:pt x="57276" y="243966"/>
              </a:lnTo>
              <a:lnTo>
                <a:pt x="57340" y="239013"/>
              </a:lnTo>
              <a:lnTo>
                <a:pt x="76659" y="215011"/>
              </a:lnTo>
              <a:lnTo>
                <a:pt x="106425" y="215011"/>
              </a:lnTo>
              <a:lnTo>
                <a:pt x="99822" y="208407"/>
              </a:lnTo>
              <a:lnTo>
                <a:pt x="87756" y="208407"/>
              </a:lnTo>
              <a:lnTo>
                <a:pt x="82168" y="207518"/>
              </a:lnTo>
              <a:close/>
            </a:path>
            <a:path w="311150" h="329564">
              <a:moveTo>
                <a:pt x="106425" y="215011"/>
              </a:moveTo>
              <a:lnTo>
                <a:pt x="91567" y="215011"/>
              </a:lnTo>
              <a:lnTo>
                <a:pt x="97917" y="217805"/>
              </a:lnTo>
              <a:lnTo>
                <a:pt x="103505" y="223265"/>
              </a:lnTo>
              <a:lnTo>
                <a:pt x="106325" y="226187"/>
              </a:lnTo>
              <a:lnTo>
                <a:pt x="107136" y="227075"/>
              </a:lnTo>
              <a:lnTo>
                <a:pt x="109474" y="231012"/>
              </a:lnTo>
              <a:lnTo>
                <a:pt x="112013" y="239902"/>
              </a:lnTo>
              <a:lnTo>
                <a:pt x="111978" y="244728"/>
              </a:lnTo>
              <a:lnTo>
                <a:pt x="91820" y="267970"/>
              </a:lnTo>
              <a:lnTo>
                <a:pt x="87249" y="269239"/>
              </a:lnTo>
              <a:lnTo>
                <a:pt x="106721" y="269239"/>
              </a:lnTo>
              <a:lnTo>
                <a:pt x="108712" y="267588"/>
              </a:lnTo>
              <a:lnTo>
                <a:pt x="118937" y="245363"/>
              </a:lnTo>
              <a:lnTo>
                <a:pt x="118931" y="243966"/>
              </a:lnTo>
              <a:lnTo>
                <a:pt x="118761" y="242062"/>
              </a:lnTo>
              <a:lnTo>
                <a:pt x="118682" y="241173"/>
              </a:lnTo>
              <a:lnTo>
                <a:pt x="118570" y="239902"/>
              </a:lnTo>
              <a:lnTo>
                <a:pt x="118491" y="239013"/>
              </a:lnTo>
              <a:lnTo>
                <a:pt x="130428" y="239013"/>
              </a:lnTo>
              <a:lnTo>
                <a:pt x="106425" y="215011"/>
              </a:lnTo>
              <a:close/>
            </a:path>
            <a:path w="311150" h="329564">
              <a:moveTo>
                <a:pt x="130428" y="239013"/>
              </a:moveTo>
              <a:lnTo>
                <a:pt x="118491" y="239013"/>
              </a:lnTo>
              <a:lnTo>
                <a:pt x="126618" y="247269"/>
              </a:lnTo>
              <a:lnTo>
                <a:pt x="132587" y="241173"/>
              </a:lnTo>
              <a:lnTo>
                <a:pt x="130428" y="239013"/>
              </a:lnTo>
              <a:close/>
            </a:path>
            <a:path w="311150" h="329564">
              <a:moveTo>
                <a:pt x="105282" y="173482"/>
              </a:moveTo>
              <a:lnTo>
                <a:pt x="99187" y="179577"/>
              </a:lnTo>
              <a:lnTo>
                <a:pt x="146684" y="227075"/>
              </a:lnTo>
              <a:lnTo>
                <a:pt x="152781" y="220980"/>
              </a:lnTo>
              <a:lnTo>
                <a:pt x="129158" y="197358"/>
              </a:lnTo>
              <a:lnTo>
                <a:pt x="125094" y="192659"/>
              </a:lnTo>
              <a:lnTo>
                <a:pt x="123317" y="189737"/>
              </a:lnTo>
              <a:lnTo>
                <a:pt x="120650" y="185293"/>
              </a:lnTo>
              <a:lnTo>
                <a:pt x="119887" y="181990"/>
              </a:lnTo>
              <a:lnTo>
                <a:pt x="113792" y="181990"/>
              </a:lnTo>
              <a:lnTo>
                <a:pt x="105282" y="173482"/>
              </a:lnTo>
              <a:close/>
            </a:path>
            <a:path w="311150" h="329564">
              <a:moveTo>
                <a:pt x="85089" y="193675"/>
              </a:moveTo>
              <a:lnTo>
                <a:pt x="79120" y="199771"/>
              </a:lnTo>
              <a:lnTo>
                <a:pt x="87756" y="208407"/>
              </a:lnTo>
              <a:lnTo>
                <a:pt x="99822" y="208407"/>
              </a:lnTo>
              <a:lnTo>
                <a:pt x="85089" y="193675"/>
              </a:lnTo>
              <a:close/>
            </a:path>
            <a:path w="311150" h="329564">
              <a:moveTo>
                <a:pt x="157873" y="155448"/>
              </a:moveTo>
              <a:lnTo>
                <a:pt x="140207" y="155448"/>
              </a:lnTo>
              <a:lnTo>
                <a:pt x="143891" y="156463"/>
              </a:lnTo>
              <a:lnTo>
                <a:pt x="147701" y="158876"/>
              </a:lnTo>
              <a:lnTo>
                <a:pt x="149986" y="160274"/>
              </a:lnTo>
              <a:lnTo>
                <a:pt x="153923" y="163702"/>
              </a:lnTo>
              <a:lnTo>
                <a:pt x="181991" y="191770"/>
              </a:lnTo>
              <a:lnTo>
                <a:pt x="188214" y="185674"/>
              </a:lnTo>
              <a:lnTo>
                <a:pt x="163830" y="161289"/>
              </a:lnTo>
              <a:lnTo>
                <a:pt x="157873" y="155448"/>
              </a:lnTo>
              <a:close/>
            </a:path>
            <a:path w="311150" h="329564">
              <a:moveTo>
                <a:pt x="138683" y="146812"/>
              </a:moveTo>
              <a:lnTo>
                <a:pt x="114681" y="166624"/>
              </a:lnTo>
              <a:lnTo>
                <a:pt x="113283" y="171196"/>
              </a:lnTo>
              <a:lnTo>
                <a:pt x="113030" y="176275"/>
              </a:lnTo>
              <a:lnTo>
                <a:pt x="113792" y="181990"/>
              </a:lnTo>
              <a:lnTo>
                <a:pt x="119887" y="181990"/>
              </a:lnTo>
              <a:lnTo>
                <a:pt x="119506" y="180339"/>
              </a:lnTo>
              <a:lnTo>
                <a:pt x="120523" y="169545"/>
              </a:lnTo>
              <a:lnTo>
                <a:pt x="122555" y="164973"/>
              </a:lnTo>
              <a:lnTo>
                <a:pt x="126364" y="161289"/>
              </a:lnTo>
              <a:lnTo>
                <a:pt x="129539" y="158114"/>
              </a:lnTo>
              <a:lnTo>
                <a:pt x="132969" y="156210"/>
              </a:lnTo>
              <a:lnTo>
                <a:pt x="140207" y="155448"/>
              </a:lnTo>
              <a:lnTo>
                <a:pt x="157873" y="155448"/>
              </a:lnTo>
              <a:lnTo>
                <a:pt x="157226" y="154812"/>
              </a:lnTo>
              <a:lnTo>
                <a:pt x="151765" y="150622"/>
              </a:lnTo>
              <a:lnTo>
                <a:pt x="147446" y="148844"/>
              </a:lnTo>
              <a:lnTo>
                <a:pt x="143129" y="147193"/>
              </a:lnTo>
              <a:lnTo>
                <a:pt x="138683" y="146812"/>
              </a:lnTo>
              <a:close/>
            </a:path>
            <a:path w="311150" h="329564">
              <a:moveTo>
                <a:pt x="194944" y="125349"/>
              </a:moveTo>
              <a:lnTo>
                <a:pt x="170942" y="149351"/>
              </a:lnTo>
              <a:lnTo>
                <a:pt x="176272" y="154812"/>
              </a:lnTo>
              <a:lnTo>
                <a:pt x="176021" y="154812"/>
              </a:lnTo>
              <a:lnTo>
                <a:pt x="200279" y="130683"/>
              </a:lnTo>
              <a:lnTo>
                <a:pt x="194944" y="125349"/>
              </a:lnTo>
              <a:close/>
            </a:path>
            <a:path w="311150" h="329564">
              <a:moveTo>
                <a:pt x="189992" y="55372"/>
              </a:moveTo>
              <a:lnTo>
                <a:pt x="177035" y="68199"/>
              </a:lnTo>
              <a:lnTo>
                <a:pt x="189992" y="68199"/>
              </a:lnTo>
              <a:lnTo>
                <a:pt x="247777" y="125984"/>
              </a:lnTo>
              <a:lnTo>
                <a:pt x="254254" y="119634"/>
              </a:lnTo>
              <a:lnTo>
                <a:pt x="189992" y="55372"/>
              </a:lnTo>
              <a:close/>
            </a:path>
            <a:path w="311150" h="329564">
              <a:moveTo>
                <a:pt x="262356" y="48640"/>
              </a:moveTo>
              <a:lnTo>
                <a:pt x="254845" y="48640"/>
              </a:lnTo>
              <a:lnTo>
                <a:pt x="253638" y="52197"/>
              </a:lnTo>
              <a:lnTo>
                <a:pt x="252588" y="55372"/>
              </a:lnTo>
              <a:lnTo>
                <a:pt x="252052" y="60198"/>
              </a:lnTo>
              <a:lnTo>
                <a:pt x="251968" y="60960"/>
              </a:lnTo>
              <a:lnTo>
                <a:pt x="252786" y="65405"/>
              </a:lnTo>
              <a:lnTo>
                <a:pt x="264668" y="83312"/>
              </a:lnTo>
              <a:lnTo>
                <a:pt x="264843" y="83312"/>
              </a:lnTo>
              <a:lnTo>
                <a:pt x="270891" y="85851"/>
              </a:lnTo>
              <a:lnTo>
                <a:pt x="286384" y="86613"/>
              </a:lnTo>
              <a:lnTo>
                <a:pt x="293751" y="83312"/>
              </a:lnTo>
              <a:lnTo>
                <a:pt x="299466" y="77597"/>
              </a:lnTo>
              <a:lnTo>
                <a:pt x="278383" y="77597"/>
              </a:lnTo>
              <a:lnTo>
                <a:pt x="272203" y="76200"/>
              </a:lnTo>
              <a:lnTo>
                <a:pt x="271877" y="76200"/>
              </a:lnTo>
              <a:lnTo>
                <a:pt x="268731" y="74422"/>
              </a:lnTo>
              <a:lnTo>
                <a:pt x="266445" y="72009"/>
              </a:lnTo>
              <a:lnTo>
                <a:pt x="262635" y="68199"/>
              </a:lnTo>
              <a:lnTo>
                <a:pt x="260731" y="63373"/>
              </a:lnTo>
              <a:lnTo>
                <a:pt x="260857" y="57531"/>
              </a:lnTo>
              <a:lnTo>
                <a:pt x="260984" y="51688"/>
              </a:lnTo>
              <a:lnTo>
                <a:pt x="262356" y="48640"/>
              </a:lnTo>
              <a:close/>
            </a:path>
            <a:path w="311150" h="329564">
              <a:moveTo>
                <a:pt x="189738" y="68199"/>
              </a:moveTo>
              <a:lnTo>
                <a:pt x="177355" y="68199"/>
              </a:lnTo>
              <a:lnTo>
                <a:pt x="179705" y="77597"/>
              </a:lnTo>
              <a:lnTo>
                <a:pt x="179831" y="78105"/>
              </a:lnTo>
              <a:lnTo>
                <a:pt x="189738" y="68199"/>
              </a:lnTo>
              <a:close/>
            </a:path>
            <a:path w="311150" h="329564">
              <a:moveTo>
                <a:pt x="304165" y="35813"/>
              </a:moveTo>
              <a:lnTo>
                <a:pt x="288816" y="35813"/>
              </a:lnTo>
              <a:lnTo>
                <a:pt x="292734" y="37337"/>
              </a:lnTo>
              <a:lnTo>
                <a:pt x="296291" y="40894"/>
              </a:lnTo>
              <a:lnTo>
                <a:pt x="300101" y="44576"/>
              </a:lnTo>
              <a:lnTo>
                <a:pt x="301879" y="49149"/>
              </a:lnTo>
              <a:lnTo>
                <a:pt x="301879" y="60198"/>
              </a:lnTo>
              <a:lnTo>
                <a:pt x="299593" y="65405"/>
              </a:lnTo>
              <a:lnTo>
                <a:pt x="294894" y="69976"/>
              </a:lnTo>
              <a:lnTo>
                <a:pt x="291845" y="73025"/>
              </a:lnTo>
              <a:lnTo>
                <a:pt x="288670" y="75184"/>
              </a:lnTo>
              <a:lnTo>
                <a:pt x="281432" y="77597"/>
              </a:lnTo>
              <a:lnTo>
                <a:pt x="299466" y="77597"/>
              </a:lnTo>
              <a:lnTo>
                <a:pt x="300863" y="76200"/>
              </a:lnTo>
              <a:lnTo>
                <a:pt x="305645" y="70556"/>
              </a:lnTo>
              <a:lnTo>
                <a:pt x="308927" y="64674"/>
              </a:lnTo>
              <a:lnTo>
                <a:pt x="310685" y="58554"/>
              </a:lnTo>
              <a:lnTo>
                <a:pt x="310637" y="48640"/>
              </a:lnTo>
              <a:lnTo>
                <a:pt x="310508" y="46862"/>
              </a:lnTo>
              <a:lnTo>
                <a:pt x="310388" y="45212"/>
              </a:lnTo>
              <a:lnTo>
                <a:pt x="307594" y="39243"/>
              </a:lnTo>
              <a:lnTo>
                <a:pt x="304165" y="35813"/>
              </a:lnTo>
              <a:close/>
            </a:path>
            <a:path w="311150" h="329564">
              <a:moveTo>
                <a:pt x="254777" y="0"/>
              </a:moveTo>
              <a:lnTo>
                <a:pt x="249808" y="0"/>
              </a:lnTo>
              <a:lnTo>
                <a:pt x="241045" y="2539"/>
              </a:lnTo>
              <a:lnTo>
                <a:pt x="226606" y="20065"/>
              </a:lnTo>
              <a:lnTo>
                <a:pt x="225170" y="24637"/>
              </a:lnTo>
              <a:lnTo>
                <a:pt x="225156" y="24891"/>
              </a:lnTo>
              <a:lnTo>
                <a:pt x="225036" y="29590"/>
              </a:lnTo>
              <a:lnTo>
                <a:pt x="226859" y="37337"/>
              </a:lnTo>
              <a:lnTo>
                <a:pt x="226948" y="37719"/>
              </a:lnTo>
              <a:lnTo>
                <a:pt x="245744" y="50291"/>
              </a:lnTo>
              <a:lnTo>
                <a:pt x="250063" y="50037"/>
              </a:lnTo>
              <a:lnTo>
                <a:pt x="254486" y="48640"/>
              </a:lnTo>
              <a:lnTo>
                <a:pt x="262356" y="48640"/>
              </a:lnTo>
              <a:lnTo>
                <a:pt x="263156" y="46862"/>
              </a:lnTo>
              <a:lnTo>
                <a:pt x="263270" y="46609"/>
              </a:lnTo>
              <a:lnTo>
                <a:pt x="268085" y="41783"/>
              </a:lnTo>
              <a:lnTo>
                <a:pt x="244729" y="41783"/>
              </a:lnTo>
              <a:lnTo>
                <a:pt x="240919" y="40512"/>
              </a:lnTo>
              <a:lnTo>
                <a:pt x="238246" y="37719"/>
              </a:lnTo>
              <a:lnTo>
                <a:pt x="235204" y="34798"/>
              </a:lnTo>
              <a:lnTo>
                <a:pt x="233933" y="31114"/>
              </a:lnTo>
              <a:lnTo>
                <a:pt x="234057" y="26797"/>
              </a:lnTo>
              <a:lnTo>
                <a:pt x="234180" y="24637"/>
              </a:lnTo>
              <a:lnTo>
                <a:pt x="234277" y="22987"/>
              </a:lnTo>
              <a:lnTo>
                <a:pt x="234315" y="22351"/>
              </a:lnTo>
              <a:lnTo>
                <a:pt x="236219" y="18414"/>
              </a:lnTo>
              <a:lnTo>
                <a:pt x="239776" y="14859"/>
              </a:lnTo>
              <a:lnTo>
                <a:pt x="243713" y="10795"/>
              </a:lnTo>
              <a:lnTo>
                <a:pt x="247624" y="9016"/>
              </a:lnTo>
              <a:lnTo>
                <a:pt x="271525" y="9016"/>
              </a:lnTo>
              <a:lnTo>
                <a:pt x="266319" y="3810"/>
              </a:lnTo>
              <a:lnTo>
                <a:pt x="262763" y="1905"/>
              </a:lnTo>
              <a:lnTo>
                <a:pt x="254777" y="0"/>
              </a:lnTo>
              <a:close/>
            </a:path>
            <a:path w="311150" h="329564">
              <a:moveTo>
                <a:pt x="271525" y="9016"/>
              </a:moveTo>
              <a:lnTo>
                <a:pt x="256413" y="9016"/>
              </a:lnTo>
              <a:lnTo>
                <a:pt x="259969" y="10413"/>
              </a:lnTo>
              <a:lnTo>
                <a:pt x="262508" y="12953"/>
              </a:lnTo>
              <a:lnTo>
                <a:pt x="264286" y="14859"/>
              </a:lnTo>
              <a:lnTo>
                <a:pt x="265683" y="17145"/>
              </a:lnTo>
              <a:lnTo>
                <a:pt x="266445" y="20065"/>
              </a:lnTo>
              <a:lnTo>
                <a:pt x="267081" y="22987"/>
              </a:lnTo>
              <a:lnTo>
                <a:pt x="267081" y="25908"/>
              </a:lnTo>
              <a:lnTo>
                <a:pt x="266269" y="28575"/>
              </a:lnTo>
              <a:lnTo>
                <a:pt x="265430" y="31750"/>
              </a:lnTo>
              <a:lnTo>
                <a:pt x="263906" y="34289"/>
              </a:lnTo>
              <a:lnTo>
                <a:pt x="258444" y="39750"/>
              </a:lnTo>
              <a:lnTo>
                <a:pt x="254381" y="41528"/>
              </a:lnTo>
              <a:lnTo>
                <a:pt x="244729" y="41783"/>
              </a:lnTo>
              <a:lnTo>
                <a:pt x="268085" y="41783"/>
              </a:lnTo>
              <a:lnTo>
                <a:pt x="271780" y="37973"/>
              </a:lnTo>
              <a:lnTo>
                <a:pt x="276732" y="35813"/>
              </a:lnTo>
              <a:lnTo>
                <a:pt x="304165" y="35813"/>
              </a:lnTo>
              <a:lnTo>
                <a:pt x="302641" y="34289"/>
              </a:lnTo>
              <a:lnTo>
                <a:pt x="299211" y="30734"/>
              </a:lnTo>
              <a:lnTo>
                <a:pt x="296993" y="29590"/>
              </a:lnTo>
              <a:lnTo>
                <a:pt x="273684" y="29590"/>
              </a:lnTo>
              <a:lnTo>
                <a:pt x="275081" y="24891"/>
              </a:lnTo>
              <a:lnTo>
                <a:pt x="275255" y="22987"/>
              </a:lnTo>
              <a:lnTo>
                <a:pt x="275336" y="20065"/>
              </a:lnTo>
              <a:lnTo>
                <a:pt x="273939" y="13081"/>
              </a:lnTo>
              <a:lnTo>
                <a:pt x="272160" y="9651"/>
              </a:lnTo>
              <a:lnTo>
                <a:pt x="271525" y="9016"/>
              </a:lnTo>
              <a:close/>
            </a:path>
            <a:path w="311150" h="329564">
              <a:moveTo>
                <a:pt x="285749" y="26797"/>
              </a:moveTo>
              <a:lnTo>
                <a:pt x="280161" y="27432"/>
              </a:lnTo>
              <a:lnTo>
                <a:pt x="273684" y="29590"/>
              </a:lnTo>
              <a:lnTo>
                <a:pt x="296993" y="29590"/>
              </a:lnTo>
              <a:lnTo>
                <a:pt x="295020" y="28575"/>
              </a:lnTo>
              <a:lnTo>
                <a:pt x="285749" y="26797"/>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13</xdr:col>
      <xdr:colOff>286874</xdr:colOff>
      <xdr:row>22</xdr:row>
      <xdr:rowOff>50429</xdr:rowOff>
    </xdr:from>
    <xdr:to>
      <xdr:col>13</xdr:col>
      <xdr:colOff>553574</xdr:colOff>
      <xdr:row>23</xdr:row>
      <xdr:rowOff>142918</xdr:rowOff>
    </xdr:to>
    <xdr:sp macro="" textlink="">
      <xdr:nvSpPr>
        <xdr:cNvPr id="19" name="object 19">
          <a:extLst>
            <a:ext uri="{FF2B5EF4-FFF2-40B4-BE49-F238E27FC236}">
              <a16:creationId xmlns:a16="http://schemas.microsoft.com/office/drawing/2014/main" id="{00000000-0008-0000-0100-000013000000}"/>
            </a:ext>
          </a:extLst>
        </xdr:cNvPr>
        <xdr:cNvSpPr/>
      </xdr:nvSpPr>
      <xdr:spPr>
        <a:xfrm>
          <a:off x="9037174" y="4241429"/>
          <a:ext cx="266700" cy="282989"/>
        </a:xfrm>
        <a:custGeom>
          <a:avLst/>
          <a:gdLst/>
          <a:ahLst/>
          <a:cxnLst/>
          <a:rect l="l" t="t" r="r" b="b"/>
          <a:pathLst>
            <a:path w="266700" h="285750">
              <a:moveTo>
                <a:pt x="6476" y="194690"/>
              </a:moveTo>
              <a:lnTo>
                <a:pt x="0" y="201167"/>
              </a:lnTo>
              <a:lnTo>
                <a:pt x="48387" y="249554"/>
              </a:lnTo>
              <a:lnTo>
                <a:pt x="51755" y="253618"/>
              </a:lnTo>
              <a:lnTo>
                <a:pt x="52959" y="255904"/>
              </a:lnTo>
              <a:lnTo>
                <a:pt x="54101" y="258317"/>
              </a:lnTo>
              <a:lnTo>
                <a:pt x="54591" y="260985"/>
              </a:lnTo>
              <a:lnTo>
                <a:pt x="53848" y="266064"/>
              </a:lnTo>
              <a:lnTo>
                <a:pt x="52704" y="268224"/>
              </a:lnTo>
              <a:lnTo>
                <a:pt x="49402" y="271525"/>
              </a:lnTo>
              <a:lnTo>
                <a:pt x="47625" y="272668"/>
              </a:lnTo>
              <a:lnTo>
                <a:pt x="45592" y="273430"/>
              </a:lnTo>
              <a:lnTo>
                <a:pt x="42417" y="274700"/>
              </a:lnTo>
              <a:lnTo>
                <a:pt x="37973" y="275843"/>
              </a:lnTo>
              <a:lnTo>
                <a:pt x="32257" y="276860"/>
              </a:lnTo>
              <a:lnTo>
                <a:pt x="33810" y="284861"/>
              </a:lnTo>
              <a:lnTo>
                <a:pt x="33909" y="285368"/>
              </a:lnTo>
              <a:lnTo>
                <a:pt x="39497" y="284861"/>
              </a:lnTo>
              <a:lnTo>
                <a:pt x="44068" y="283717"/>
              </a:lnTo>
              <a:lnTo>
                <a:pt x="64135" y="260985"/>
              </a:lnTo>
              <a:lnTo>
                <a:pt x="63868" y="258317"/>
              </a:lnTo>
              <a:lnTo>
                <a:pt x="63753" y="257175"/>
              </a:lnTo>
              <a:lnTo>
                <a:pt x="62102" y="253618"/>
              </a:lnTo>
              <a:lnTo>
                <a:pt x="60578" y="249936"/>
              </a:lnTo>
              <a:lnTo>
                <a:pt x="56514" y="244728"/>
              </a:lnTo>
              <a:lnTo>
                <a:pt x="49784" y="238125"/>
              </a:lnTo>
              <a:lnTo>
                <a:pt x="6476" y="194690"/>
              </a:lnTo>
              <a:close/>
            </a:path>
            <a:path w="266700" h="285750">
              <a:moveTo>
                <a:pt x="43306" y="191642"/>
              </a:moveTo>
              <a:lnTo>
                <a:pt x="43050" y="191642"/>
              </a:lnTo>
              <a:lnTo>
                <a:pt x="36956" y="197612"/>
              </a:lnTo>
              <a:lnTo>
                <a:pt x="66675" y="227202"/>
              </a:lnTo>
              <a:lnTo>
                <a:pt x="87249" y="235585"/>
              </a:lnTo>
              <a:lnTo>
                <a:pt x="97154" y="233045"/>
              </a:lnTo>
              <a:lnTo>
                <a:pt x="101980" y="230124"/>
              </a:lnTo>
              <a:lnTo>
                <a:pt x="105409" y="226695"/>
              </a:lnTo>
              <a:lnTo>
                <a:pt x="85089" y="226695"/>
              </a:lnTo>
              <a:lnTo>
                <a:pt x="81152" y="226060"/>
              </a:lnTo>
              <a:lnTo>
                <a:pt x="77342" y="224027"/>
              </a:lnTo>
              <a:lnTo>
                <a:pt x="74802" y="222503"/>
              </a:lnTo>
              <a:lnTo>
                <a:pt x="70738" y="219075"/>
              </a:lnTo>
              <a:lnTo>
                <a:pt x="65277" y="213740"/>
              </a:lnTo>
              <a:lnTo>
                <a:pt x="43306" y="191642"/>
              </a:lnTo>
              <a:close/>
            </a:path>
            <a:path w="266700" h="285750">
              <a:moveTo>
                <a:pt x="78612" y="156083"/>
              </a:moveTo>
              <a:lnTo>
                <a:pt x="72389" y="162305"/>
              </a:lnTo>
              <a:lnTo>
                <a:pt x="94487" y="184530"/>
              </a:lnTo>
              <a:lnTo>
                <a:pt x="100456" y="190373"/>
              </a:lnTo>
              <a:lnTo>
                <a:pt x="104076" y="194690"/>
              </a:lnTo>
              <a:lnTo>
                <a:pt x="107061" y="200660"/>
              </a:lnTo>
              <a:lnTo>
                <a:pt x="107568" y="204470"/>
              </a:lnTo>
              <a:lnTo>
                <a:pt x="106044" y="212471"/>
              </a:lnTo>
              <a:lnTo>
                <a:pt x="104012" y="216153"/>
              </a:lnTo>
              <a:lnTo>
                <a:pt x="97154" y="223012"/>
              </a:lnTo>
              <a:lnTo>
                <a:pt x="93472" y="225171"/>
              </a:lnTo>
              <a:lnTo>
                <a:pt x="85089" y="226695"/>
              </a:lnTo>
              <a:lnTo>
                <a:pt x="105409" y="226695"/>
              </a:lnTo>
              <a:lnTo>
                <a:pt x="111251" y="220852"/>
              </a:lnTo>
              <a:lnTo>
                <a:pt x="114173" y="216153"/>
              </a:lnTo>
              <a:lnTo>
                <a:pt x="116459" y="206248"/>
              </a:lnTo>
              <a:lnTo>
                <a:pt x="116204" y="201295"/>
              </a:lnTo>
              <a:lnTo>
                <a:pt x="112649" y="191642"/>
              </a:lnTo>
              <a:lnTo>
                <a:pt x="108457" y="185927"/>
              </a:lnTo>
              <a:lnTo>
                <a:pt x="78612" y="156083"/>
              </a:lnTo>
              <a:close/>
            </a:path>
            <a:path w="266700" h="285750">
              <a:moveTo>
                <a:pt x="79628" y="118363"/>
              </a:moveTo>
              <a:lnTo>
                <a:pt x="73532" y="124460"/>
              </a:lnTo>
              <a:lnTo>
                <a:pt x="139318" y="190373"/>
              </a:lnTo>
              <a:lnTo>
                <a:pt x="145414" y="184150"/>
              </a:lnTo>
              <a:lnTo>
                <a:pt x="79628" y="118363"/>
              </a:lnTo>
              <a:close/>
            </a:path>
            <a:path w="266700" h="285750">
              <a:moveTo>
                <a:pt x="151764" y="124205"/>
              </a:moveTo>
              <a:lnTo>
                <a:pt x="127762" y="148209"/>
              </a:lnTo>
              <a:lnTo>
                <a:pt x="133095" y="153542"/>
              </a:lnTo>
              <a:lnTo>
                <a:pt x="157099" y="129539"/>
              </a:lnTo>
              <a:lnTo>
                <a:pt x="151764" y="124205"/>
              </a:lnTo>
              <a:close/>
            </a:path>
            <a:path w="266700" h="285750">
              <a:moveTo>
                <a:pt x="145795" y="55372"/>
              </a:moveTo>
              <a:lnTo>
                <a:pt x="132969" y="68199"/>
              </a:lnTo>
              <a:lnTo>
                <a:pt x="145796" y="68199"/>
              </a:lnTo>
              <a:lnTo>
                <a:pt x="203707" y="125984"/>
              </a:lnTo>
              <a:lnTo>
                <a:pt x="210057" y="119634"/>
              </a:lnTo>
              <a:lnTo>
                <a:pt x="145795" y="55372"/>
              </a:lnTo>
              <a:close/>
            </a:path>
            <a:path w="266700" h="285750">
              <a:moveTo>
                <a:pt x="218127" y="48640"/>
              </a:moveTo>
              <a:lnTo>
                <a:pt x="210649" y="48640"/>
              </a:lnTo>
              <a:lnTo>
                <a:pt x="208579" y="54737"/>
              </a:lnTo>
              <a:lnTo>
                <a:pt x="208392" y="55372"/>
              </a:lnTo>
              <a:lnTo>
                <a:pt x="207856" y="60198"/>
              </a:lnTo>
              <a:lnTo>
                <a:pt x="207772" y="60960"/>
              </a:lnTo>
              <a:lnTo>
                <a:pt x="208707" y="65404"/>
              </a:lnTo>
              <a:lnTo>
                <a:pt x="209580" y="69976"/>
              </a:lnTo>
              <a:lnTo>
                <a:pt x="209715" y="70556"/>
              </a:lnTo>
              <a:lnTo>
                <a:pt x="211962" y="74675"/>
              </a:lnTo>
              <a:lnTo>
                <a:pt x="215518" y="78359"/>
              </a:lnTo>
              <a:lnTo>
                <a:pt x="220602" y="83312"/>
              </a:lnTo>
              <a:lnTo>
                <a:pt x="220768" y="83312"/>
              </a:lnTo>
              <a:lnTo>
                <a:pt x="226694" y="85851"/>
              </a:lnTo>
              <a:lnTo>
                <a:pt x="242188" y="86613"/>
              </a:lnTo>
              <a:lnTo>
                <a:pt x="249681" y="83312"/>
              </a:lnTo>
              <a:lnTo>
                <a:pt x="255396" y="77597"/>
              </a:lnTo>
              <a:lnTo>
                <a:pt x="234187" y="77597"/>
              </a:lnTo>
              <a:lnTo>
                <a:pt x="230886" y="76835"/>
              </a:lnTo>
              <a:lnTo>
                <a:pt x="227456" y="75946"/>
              </a:lnTo>
              <a:lnTo>
                <a:pt x="224536" y="74422"/>
              </a:lnTo>
              <a:lnTo>
                <a:pt x="222250" y="72009"/>
              </a:lnTo>
              <a:lnTo>
                <a:pt x="218439" y="68199"/>
              </a:lnTo>
              <a:lnTo>
                <a:pt x="216535" y="63373"/>
              </a:lnTo>
              <a:lnTo>
                <a:pt x="216662" y="57530"/>
              </a:lnTo>
              <a:lnTo>
                <a:pt x="216788" y="51688"/>
              </a:lnTo>
              <a:lnTo>
                <a:pt x="218127" y="48640"/>
              </a:lnTo>
              <a:close/>
            </a:path>
            <a:path w="266700" h="285750">
              <a:moveTo>
                <a:pt x="145541" y="68199"/>
              </a:moveTo>
              <a:lnTo>
                <a:pt x="133283" y="68199"/>
              </a:lnTo>
              <a:lnTo>
                <a:pt x="135515" y="77597"/>
              </a:lnTo>
              <a:lnTo>
                <a:pt x="135636" y="78104"/>
              </a:lnTo>
              <a:lnTo>
                <a:pt x="145541" y="68199"/>
              </a:lnTo>
              <a:close/>
            </a:path>
            <a:path w="266700" h="285750">
              <a:moveTo>
                <a:pt x="260096" y="35813"/>
              </a:moveTo>
              <a:lnTo>
                <a:pt x="244638" y="35813"/>
              </a:lnTo>
              <a:lnTo>
                <a:pt x="248665" y="37337"/>
              </a:lnTo>
              <a:lnTo>
                <a:pt x="255904" y="44576"/>
              </a:lnTo>
              <a:lnTo>
                <a:pt x="257682" y="49149"/>
              </a:lnTo>
              <a:lnTo>
                <a:pt x="257697" y="55372"/>
              </a:lnTo>
              <a:lnTo>
                <a:pt x="257810" y="60198"/>
              </a:lnTo>
              <a:lnTo>
                <a:pt x="255397" y="65404"/>
              </a:lnTo>
              <a:lnTo>
                <a:pt x="250698" y="69976"/>
              </a:lnTo>
              <a:lnTo>
                <a:pt x="247650" y="73025"/>
              </a:lnTo>
              <a:lnTo>
                <a:pt x="244475" y="75184"/>
              </a:lnTo>
              <a:lnTo>
                <a:pt x="237236" y="77597"/>
              </a:lnTo>
              <a:lnTo>
                <a:pt x="255396" y="77597"/>
              </a:lnTo>
              <a:lnTo>
                <a:pt x="256793" y="76200"/>
              </a:lnTo>
              <a:lnTo>
                <a:pt x="261558" y="70556"/>
              </a:lnTo>
              <a:lnTo>
                <a:pt x="264810" y="64674"/>
              </a:lnTo>
              <a:lnTo>
                <a:pt x="266563" y="58554"/>
              </a:lnTo>
              <a:lnTo>
                <a:pt x="266503" y="48640"/>
              </a:lnTo>
              <a:lnTo>
                <a:pt x="266342" y="46862"/>
              </a:lnTo>
              <a:lnTo>
                <a:pt x="266307" y="46481"/>
              </a:lnTo>
              <a:lnTo>
                <a:pt x="266191" y="45212"/>
              </a:lnTo>
              <a:lnTo>
                <a:pt x="263525" y="39242"/>
              </a:lnTo>
              <a:lnTo>
                <a:pt x="260096" y="35813"/>
              </a:lnTo>
              <a:close/>
            </a:path>
            <a:path w="266700" h="285750">
              <a:moveTo>
                <a:pt x="210581" y="0"/>
              </a:moveTo>
              <a:lnTo>
                <a:pt x="205739" y="0"/>
              </a:lnTo>
              <a:lnTo>
                <a:pt x="196976" y="2539"/>
              </a:lnTo>
              <a:lnTo>
                <a:pt x="193039" y="4952"/>
              </a:lnTo>
              <a:lnTo>
                <a:pt x="186309" y="11684"/>
              </a:lnTo>
              <a:lnTo>
                <a:pt x="183768" y="15621"/>
              </a:lnTo>
              <a:lnTo>
                <a:pt x="182372" y="20192"/>
              </a:lnTo>
              <a:lnTo>
                <a:pt x="180975" y="24637"/>
              </a:lnTo>
              <a:lnTo>
                <a:pt x="180960" y="24891"/>
              </a:lnTo>
              <a:lnTo>
                <a:pt x="180840" y="29590"/>
              </a:lnTo>
              <a:lnTo>
                <a:pt x="182663" y="37337"/>
              </a:lnTo>
              <a:lnTo>
                <a:pt x="182752" y="37718"/>
              </a:lnTo>
              <a:lnTo>
                <a:pt x="201549" y="50291"/>
              </a:lnTo>
              <a:lnTo>
                <a:pt x="205866" y="50037"/>
              </a:lnTo>
              <a:lnTo>
                <a:pt x="210290" y="48640"/>
              </a:lnTo>
              <a:lnTo>
                <a:pt x="218127" y="48640"/>
              </a:lnTo>
              <a:lnTo>
                <a:pt x="219075" y="46481"/>
              </a:lnTo>
              <a:lnTo>
                <a:pt x="223519" y="42163"/>
              </a:lnTo>
              <a:lnTo>
                <a:pt x="223889" y="41783"/>
              </a:lnTo>
              <a:lnTo>
                <a:pt x="200660" y="41783"/>
              </a:lnTo>
              <a:lnTo>
                <a:pt x="196723" y="40512"/>
              </a:lnTo>
              <a:lnTo>
                <a:pt x="194050" y="37718"/>
              </a:lnTo>
              <a:lnTo>
                <a:pt x="191007" y="34798"/>
              </a:lnTo>
              <a:lnTo>
                <a:pt x="189737" y="31114"/>
              </a:lnTo>
              <a:lnTo>
                <a:pt x="189855" y="29083"/>
              </a:lnTo>
              <a:lnTo>
                <a:pt x="189951" y="27431"/>
              </a:lnTo>
              <a:lnTo>
                <a:pt x="190039" y="25908"/>
              </a:lnTo>
              <a:lnTo>
                <a:pt x="190113" y="24637"/>
              </a:lnTo>
              <a:lnTo>
                <a:pt x="203437" y="9016"/>
              </a:lnTo>
              <a:lnTo>
                <a:pt x="227329" y="9016"/>
              </a:lnTo>
              <a:lnTo>
                <a:pt x="222123" y="3810"/>
              </a:lnTo>
              <a:lnTo>
                <a:pt x="218566" y="1904"/>
              </a:lnTo>
              <a:lnTo>
                <a:pt x="210581" y="0"/>
              </a:lnTo>
              <a:close/>
            </a:path>
            <a:path w="266700" h="285750">
              <a:moveTo>
                <a:pt x="227329" y="9016"/>
              </a:moveTo>
              <a:lnTo>
                <a:pt x="212343" y="9016"/>
              </a:lnTo>
              <a:lnTo>
                <a:pt x="215773" y="10413"/>
              </a:lnTo>
              <a:lnTo>
                <a:pt x="220217" y="14859"/>
              </a:lnTo>
              <a:lnTo>
                <a:pt x="221487" y="17145"/>
              </a:lnTo>
              <a:lnTo>
                <a:pt x="222846" y="22351"/>
              </a:lnTo>
              <a:lnTo>
                <a:pt x="222885" y="25908"/>
              </a:lnTo>
              <a:lnTo>
                <a:pt x="222189" y="28575"/>
              </a:lnTo>
              <a:lnTo>
                <a:pt x="209894" y="41655"/>
              </a:lnTo>
              <a:lnTo>
                <a:pt x="205486" y="41655"/>
              </a:lnTo>
              <a:lnTo>
                <a:pt x="200660" y="41783"/>
              </a:lnTo>
              <a:lnTo>
                <a:pt x="223889" y="41783"/>
              </a:lnTo>
              <a:lnTo>
                <a:pt x="227584" y="37973"/>
              </a:lnTo>
              <a:lnTo>
                <a:pt x="232537" y="35813"/>
              </a:lnTo>
              <a:lnTo>
                <a:pt x="260096" y="35813"/>
              </a:lnTo>
              <a:lnTo>
                <a:pt x="255015" y="30734"/>
              </a:lnTo>
              <a:lnTo>
                <a:pt x="252864" y="29590"/>
              </a:lnTo>
              <a:lnTo>
                <a:pt x="229615" y="29590"/>
              </a:lnTo>
              <a:lnTo>
                <a:pt x="231012" y="24891"/>
              </a:lnTo>
              <a:lnTo>
                <a:pt x="231125" y="22987"/>
              </a:lnTo>
              <a:lnTo>
                <a:pt x="231188" y="20192"/>
              </a:lnTo>
              <a:lnTo>
                <a:pt x="230557" y="17145"/>
              </a:lnTo>
              <a:lnTo>
                <a:pt x="229869" y="13080"/>
              </a:lnTo>
              <a:lnTo>
                <a:pt x="227964" y="9651"/>
              </a:lnTo>
              <a:lnTo>
                <a:pt x="227329" y="9016"/>
              </a:lnTo>
              <a:close/>
            </a:path>
            <a:path w="266700" h="285750">
              <a:moveTo>
                <a:pt x="241680" y="26797"/>
              </a:moveTo>
              <a:lnTo>
                <a:pt x="236092" y="27431"/>
              </a:lnTo>
              <a:lnTo>
                <a:pt x="229615" y="29590"/>
              </a:lnTo>
              <a:lnTo>
                <a:pt x="252864" y="29590"/>
              </a:lnTo>
              <a:lnTo>
                <a:pt x="250951" y="28575"/>
              </a:lnTo>
              <a:lnTo>
                <a:pt x="241680" y="26797"/>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13</xdr:col>
      <xdr:colOff>612503</xdr:colOff>
      <xdr:row>22</xdr:row>
      <xdr:rowOff>50176</xdr:rowOff>
    </xdr:from>
    <xdr:to>
      <xdr:col>14</xdr:col>
      <xdr:colOff>229460</xdr:colOff>
      <xdr:row>23</xdr:row>
      <xdr:rowOff>186480</xdr:rowOff>
    </xdr:to>
    <xdr:sp macro="" textlink="">
      <xdr:nvSpPr>
        <xdr:cNvPr id="20" name="object 20">
          <a:extLst>
            <a:ext uri="{FF2B5EF4-FFF2-40B4-BE49-F238E27FC236}">
              <a16:creationId xmlns:a16="http://schemas.microsoft.com/office/drawing/2014/main" id="{00000000-0008-0000-0100-000014000000}"/>
            </a:ext>
          </a:extLst>
        </xdr:cNvPr>
        <xdr:cNvSpPr/>
      </xdr:nvSpPr>
      <xdr:spPr>
        <a:xfrm>
          <a:off x="9362803" y="4241176"/>
          <a:ext cx="290057" cy="326804"/>
        </a:xfrm>
        <a:custGeom>
          <a:avLst/>
          <a:gdLst/>
          <a:ahLst/>
          <a:cxnLst/>
          <a:rect l="l" t="t" r="r" b="b"/>
          <a:pathLst>
            <a:path w="293370" h="329564">
              <a:moveTo>
                <a:pt x="6476" y="238632"/>
              </a:moveTo>
              <a:lnTo>
                <a:pt x="6225" y="238632"/>
              </a:lnTo>
              <a:lnTo>
                <a:pt x="0" y="244982"/>
              </a:lnTo>
              <a:lnTo>
                <a:pt x="48387" y="293369"/>
              </a:lnTo>
              <a:lnTo>
                <a:pt x="51688" y="297179"/>
              </a:lnTo>
              <a:lnTo>
                <a:pt x="52832" y="299719"/>
              </a:lnTo>
              <a:lnTo>
                <a:pt x="54101" y="302132"/>
              </a:lnTo>
              <a:lnTo>
                <a:pt x="54483" y="304672"/>
              </a:lnTo>
              <a:lnTo>
                <a:pt x="32258" y="320675"/>
              </a:lnTo>
              <a:lnTo>
                <a:pt x="33785" y="328549"/>
              </a:lnTo>
              <a:lnTo>
                <a:pt x="33909" y="329183"/>
              </a:lnTo>
              <a:lnTo>
                <a:pt x="39497" y="328549"/>
              </a:lnTo>
              <a:lnTo>
                <a:pt x="44069" y="327532"/>
              </a:lnTo>
              <a:lnTo>
                <a:pt x="64008" y="304800"/>
              </a:lnTo>
              <a:lnTo>
                <a:pt x="63830" y="302132"/>
              </a:lnTo>
              <a:lnTo>
                <a:pt x="63753" y="300989"/>
              </a:lnTo>
              <a:lnTo>
                <a:pt x="62102" y="297433"/>
              </a:lnTo>
              <a:lnTo>
                <a:pt x="60578" y="293750"/>
              </a:lnTo>
              <a:lnTo>
                <a:pt x="56387" y="288543"/>
              </a:lnTo>
              <a:lnTo>
                <a:pt x="6476" y="238632"/>
              </a:lnTo>
              <a:close/>
            </a:path>
            <a:path w="293370" h="329564">
              <a:moveTo>
                <a:pt x="82041" y="207137"/>
              </a:moveTo>
              <a:lnTo>
                <a:pt x="49576" y="234314"/>
              </a:lnTo>
              <a:lnTo>
                <a:pt x="49070" y="239521"/>
              </a:lnTo>
              <a:lnTo>
                <a:pt x="48967" y="240791"/>
              </a:lnTo>
              <a:lnTo>
                <a:pt x="70691" y="274351"/>
              </a:lnTo>
              <a:lnTo>
                <a:pt x="84200" y="277113"/>
              </a:lnTo>
              <a:lnTo>
                <a:pt x="91156" y="276566"/>
              </a:lnTo>
              <a:lnTo>
                <a:pt x="97551" y="274732"/>
              </a:lnTo>
              <a:lnTo>
                <a:pt x="103399" y="271613"/>
              </a:lnTo>
              <a:lnTo>
                <a:pt x="106721" y="268858"/>
              </a:lnTo>
              <a:lnTo>
                <a:pt x="83019" y="268858"/>
              </a:lnTo>
              <a:lnTo>
                <a:pt x="78320" y="267588"/>
              </a:lnTo>
              <a:lnTo>
                <a:pt x="73025" y="266064"/>
              </a:lnTo>
              <a:lnTo>
                <a:pt x="68961" y="263778"/>
              </a:lnTo>
              <a:lnTo>
                <a:pt x="65659" y="260350"/>
              </a:lnTo>
              <a:lnTo>
                <a:pt x="62229" y="257047"/>
              </a:lnTo>
              <a:lnTo>
                <a:pt x="59944" y="252983"/>
              </a:lnTo>
              <a:lnTo>
                <a:pt x="58698" y="248792"/>
              </a:lnTo>
              <a:lnTo>
                <a:pt x="57276" y="243585"/>
              </a:lnTo>
              <a:lnTo>
                <a:pt x="57220" y="238632"/>
              </a:lnTo>
              <a:lnTo>
                <a:pt x="58311" y="234705"/>
              </a:lnTo>
              <a:lnTo>
                <a:pt x="59562" y="229742"/>
              </a:lnTo>
              <a:lnTo>
                <a:pt x="61975" y="225805"/>
              </a:lnTo>
              <a:lnTo>
                <a:pt x="65277" y="222376"/>
              </a:lnTo>
              <a:lnTo>
                <a:pt x="70612" y="217169"/>
              </a:lnTo>
              <a:lnTo>
                <a:pt x="76659" y="214629"/>
              </a:lnTo>
              <a:lnTo>
                <a:pt x="106425" y="214629"/>
              </a:lnTo>
              <a:lnTo>
                <a:pt x="99822" y="208025"/>
              </a:lnTo>
              <a:lnTo>
                <a:pt x="87757" y="208025"/>
              </a:lnTo>
              <a:lnTo>
                <a:pt x="82041" y="207137"/>
              </a:lnTo>
              <a:close/>
            </a:path>
            <a:path w="293370" h="329564">
              <a:moveTo>
                <a:pt x="106425" y="214629"/>
              </a:moveTo>
              <a:lnTo>
                <a:pt x="91566" y="214629"/>
              </a:lnTo>
              <a:lnTo>
                <a:pt x="97916" y="217424"/>
              </a:lnTo>
              <a:lnTo>
                <a:pt x="103504" y="222884"/>
              </a:lnTo>
              <a:lnTo>
                <a:pt x="106325" y="225805"/>
              </a:lnTo>
              <a:lnTo>
                <a:pt x="107136" y="226694"/>
              </a:lnTo>
              <a:lnTo>
                <a:pt x="109474" y="230631"/>
              </a:lnTo>
              <a:lnTo>
                <a:pt x="112013" y="239521"/>
              </a:lnTo>
              <a:lnTo>
                <a:pt x="111978" y="244347"/>
              </a:lnTo>
              <a:lnTo>
                <a:pt x="91821" y="267588"/>
              </a:lnTo>
              <a:lnTo>
                <a:pt x="87249" y="268858"/>
              </a:lnTo>
              <a:lnTo>
                <a:pt x="106721" y="268858"/>
              </a:lnTo>
              <a:lnTo>
                <a:pt x="108712" y="267207"/>
              </a:lnTo>
              <a:lnTo>
                <a:pt x="118937" y="244982"/>
              </a:lnTo>
              <a:lnTo>
                <a:pt x="118914" y="243585"/>
              </a:lnTo>
              <a:lnTo>
                <a:pt x="118462" y="239521"/>
              </a:lnTo>
              <a:lnTo>
                <a:pt x="118363" y="238632"/>
              </a:lnTo>
              <a:lnTo>
                <a:pt x="130428" y="238632"/>
              </a:lnTo>
              <a:lnTo>
                <a:pt x="106425" y="214629"/>
              </a:lnTo>
              <a:close/>
            </a:path>
            <a:path w="293370" h="329564">
              <a:moveTo>
                <a:pt x="130428" y="238632"/>
              </a:moveTo>
              <a:lnTo>
                <a:pt x="118363" y="238632"/>
              </a:lnTo>
              <a:lnTo>
                <a:pt x="126619" y="246887"/>
              </a:lnTo>
              <a:lnTo>
                <a:pt x="132587" y="240791"/>
              </a:lnTo>
              <a:lnTo>
                <a:pt x="130428" y="238632"/>
              </a:lnTo>
              <a:close/>
            </a:path>
            <a:path w="293370" h="329564">
              <a:moveTo>
                <a:pt x="105283" y="173100"/>
              </a:moveTo>
              <a:lnTo>
                <a:pt x="99187" y="179196"/>
              </a:lnTo>
              <a:lnTo>
                <a:pt x="146685" y="226694"/>
              </a:lnTo>
              <a:lnTo>
                <a:pt x="152781" y="220599"/>
              </a:lnTo>
              <a:lnTo>
                <a:pt x="129159" y="196976"/>
              </a:lnTo>
              <a:lnTo>
                <a:pt x="125095" y="192277"/>
              </a:lnTo>
              <a:lnTo>
                <a:pt x="123316" y="189356"/>
              </a:lnTo>
              <a:lnTo>
                <a:pt x="120650" y="184912"/>
              </a:lnTo>
              <a:lnTo>
                <a:pt x="119887" y="181609"/>
              </a:lnTo>
              <a:lnTo>
                <a:pt x="113791" y="181609"/>
              </a:lnTo>
              <a:lnTo>
                <a:pt x="105283" y="173100"/>
              </a:lnTo>
              <a:close/>
            </a:path>
            <a:path w="293370" h="329564">
              <a:moveTo>
                <a:pt x="85089" y="193293"/>
              </a:moveTo>
              <a:lnTo>
                <a:pt x="79121" y="199389"/>
              </a:lnTo>
              <a:lnTo>
                <a:pt x="87757" y="208025"/>
              </a:lnTo>
              <a:lnTo>
                <a:pt x="99822" y="208025"/>
              </a:lnTo>
              <a:lnTo>
                <a:pt x="85089" y="193293"/>
              </a:lnTo>
              <a:close/>
            </a:path>
            <a:path w="293370" h="329564">
              <a:moveTo>
                <a:pt x="157873" y="155066"/>
              </a:moveTo>
              <a:lnTo>
                <a:pt x="140081" y="155066"/>
              </a:lnTo>
              <a:lnTo>
                <a:pt x="143890" y="156082"/>
              </a:lnTo>
              <a:lnTo>
                <a:pt x="147700" y="158495"/>
              </a:lnTo>
              <a:lnTo>
                <a:pt x="149987" y="159892"/>
              </a:lnTo>
              <a:lnTo>
                <a:pt x="153924" y="163321"/>
              </a:lnTo>
              <a:lnTo>
                <a:pt x="181990" y="191388"/>
              </a:lnTo>
              <a:lnTo>
                <a:pt x="188087" y="185292"/>
              </a:lnTo>
              <a:lnTo>
                <a:pt x="163829" y="160908"/>
              </a:lnTo>
              <a:lnTo>
                <a:pt x="157873" y="155066"/>
              </a:lnTo>
              <a:close/>
            </a:path>
            <a:path w="293370" h="329564">
              <a:moveTo>
                <a:pt x="138557" y="146430"/>
              </a:moveTo>
              <a:lnTo>
                <a:pt x="113029" y="175894"/>
              </a:lnTo>
              <a:lnTo>
                <a:pt x="113791" y="181609"/>
              </a:lnTo>
              <a:lnTo>
                <a:pt x="119887" y="181609"/>
              </a:lnTo>
              <a:lnTo>
                <a:pt x="119507" y="179958"/>
              </a:lnTo>
              <a:lnTo>
                <a:pt x="120523" y="169163"/>
              </a:lnTo>
              <a:lnTo>
                <a:pt x="140081" y="155066"/>
              </a:lnTo>
              <a:lnTo>
                <a:pt x="157873" y="155066"/>
              </a:lnTo>
              <a:lnTo>
                <a:pt x="157225" y="154431"/>
              </a:lnTo>
              <a:lnTo>
                <a:pt x="151764" y="150240"/>
              </a:lnTo>
              <a:lnTo>
                <a:pt x="147447" y="148462"/>
              </a:lnTo>
              <a:lnTo>
                <a:pt x="143128" y="146812"/>
              </a:lnTo>
              <a:lnTo>
                <a:pt x="138557" y="146430"/>
              </a:lnTo>
              <a:close/>
            </a:path>
            <a:path w="293370" h="329564">
              <a:moveTo>
                <a:pt x="194817" y="124967"/>
              </a:moveTo>
              <a:lnTo>
                <a:pt x="170814" y="148970"/>
              </a:lnTo>
              <a:lnTo>
                <a:pt x="176275" y="154431"/>
              </a:lnTo>
              <a:lnTo>
                <a:pt x="176022" y="154431"/>
              </a:lnTo>
              <a:lnTo>
                <a:pt x="200151" y="130301"/>
              </a:lnTo>
              <a:lnTo>
                <a:pt x="194817" y="124967"/>
              </a:lnTo>
              <a:close/>
            </a:path>
            <a:path w="293370" h="329564">
              <a:moveTo>
                <a:pt x="189991" y="54990"/>
              </a:moveTo>
              <a:lnTo>
                <a:pt x="177163" y="67690"/>
              </a:lnTo>
              <a:lnTo>
                <a:pt x="189864" y="67690"/>
              </a:lnTo>
              <a:lnTo>
                <a:pt x="247776" y="125602"/>
              </a:lnTo>
              <a:lnTo>
                <a:pt x="254126" y="119252"/>
              </a:lnTo>
              <a:lnTo>
                <a:pt x="189991" y="54990"/>
              </a:lnTo>
              <a:close/>
            </a:path>
            <a:path w="293370" h="329564">
              <a:moveTo>
                <a:pt x="285166" y="41528"/>
              </a:moveTo>
              <a:lnTo>
                <a:pt x="275716" y="41528"/>
              </a:lnTo>
              <a:lnTo>
                <a:pt x="284734" y="85216"/>
              </a:lnTo>
              <a:lnTo>
                <a:pt x="293370" y="83312"/>
              </a:lnTo>
              <a:lnTo>
                <a:pt x="285291" y="42163"/>
              </a:lnTo>
              <a:lnTo>
                <a:pt x="285166" y="41528"/>
              </a:lnTo>
              <a:close/>
            </a:path>
            <a:path w="293370" h="329564">
              <a:moveTo>
                <a:pt x="189864" y="67690"/>
              </a:moveTo>
              <a:lnTo>
                <a:pt x="177322" y="67690"/>
              </a:lnTo>
              <a:lnTo>
                <a:pt x="179704" y="77724"/>
              </a:lnTo>
              <a:lnTo>
                <a:pt x="189864" y="67690"/>
              </a:lnTo>
              <a:close/>
            </a:path>
            <a:path w="293370" h="329564">
              <a:moveTo>
                <a:pt x="255015" y="0"/>
              </a:moveTo>
              <a:lnTo>
                <a:pt x="250316" y="0"/>
              </a:lnTo>
              <a:lnTo>
                <a:pt x="240791" y="2539"/>
              </a:lnTo>
              <a:lnTo>
                <a:pt x="236600" y="5206"/>
              </a:lnTo>
              <a:lnTo>
                <a:pt x="233172" y="8635"/>
              </a:lnTo>
              <a:lnTo>
                <a:pt x="229488" y="12191"/>
              </a:lnTo>
              <a:lnTo>
                <a:pt x="224154" y="31114"/>
              </a:lnTo>
              <a:lnTo>
                <a:pt x="226695" y="40512"/>
              </a:lnTo>
              <a:lnTo>
                <a:pt x="229235" y="44703"/>
              </a:lnTo>
              <a:lnTo>
                <a:pt x="232917" y="48387"/>
              </a:lnTo>
              <a:lnTo>
                <a:pt x="238251" y="53847"/>
              </a:lnTo>
              <a:lnTo>
                <a:pt x="245206" y="56768"/>
              </a:lnTo>
              <a:lnTo>
                <a:pt x="259079" y="56768"/>
              </a:lnTo>
              <a:lnTo>
                <a:pt x="265175" y="54355"/>
              </a:lnTo>
              <a:lnTo>
                <a:pt x="271779" y="47751"/>
              </a:lnTo>
              <a:lnTo>
                <a:pt x="247396" y="47751"/>
              </a:lnTo>
              <a:lnTo>
                <a:pt x="242950" y="45846"/>
              </a:lnTo>
              <a:lnTo>
                <a:pt x="239140" y="42163"/>
              </a:lnTo>
              <a:lnTo>
                <a:pt x="235458" y="38353"/>
              </a:lnTo>
              <a:lnTo>
                <a:pt x="233552" y="33908"/>
              </a:lnTo>
              <a:lnTo>
                <a:pt x="233552" y="23367"/>
              </a:lnTo>
              <a:lnTo>
                <a:pt x="235458" y="18795"/>
              </a:lnTo>
              <a:lnTo>
                <a:pt x="239140" y="15112"/>
              </a:lnTo>
              <a:lnTo>
                <a:pt x="242950" y="11429"/>
              </a:lnTo>
              <a:lnTo>
                <a:pt x="247396" y="9525"/>
              </a:lnTo>
              <a:lnTo>
                <a:pt x="273088" y="9525"/>
              </a:lnTo>
              <a:lnTo>
                <a:pt x="272288" y="8762"/>
              </a:lnTo>
              <a:lnTo>
                <a:pt x="268859" y="5206"/>
              </a:lnTo>
              <a:lnTo>
                <a:pt x="264667" y="2793"/>
              </a:lnTo>
              <a:lnTo>
                <a:pt x="255015" y="0"/>
              </a:lnTo>
              <a:close/>
            </a:path>
            <a:path w="293370" h="329564">
              <a:moveTo>
                <a:pt x="273088" y="9525"/>
              </a:moveTo>
              <a:lnTo>
                <a:pt x="257937" y="9525"/>
              </a:lnTo>
              <a:lnTo>
                <a:pt x="262835" y="11429"/>
              </a:lnTo>
              <a:lnTo>
                <a:pt x="262631" y="11429"/>
              </a:lnTo>
              <a:lnTo>
                <a:pt x="266191" y="15112"/>
              </a:lnTo>
              <a:lnTo>
                <a:pt x="269875" y="18795"/>
              </a:lnTo>
              <a:lnTo>
                <a:pt x="271507" y="22605"/>
              </a:lnTo>
              <a:lnTo>
                <a:pt x="271779" y="23367"/>
              </a:lnTo>
              <a:lnTo>
                <a:pt x="271730" y="33908"/>
              </a:lnTo>
              <a:lnTo>
                <a:pt x="270001" y="38353"/>
              </a:lnTo>
              <a:lnTo>
                <a:pt x="266069" y="42163"/>
              </a:lnTo>
              <a:lnTo>
                <a:pt x="262509" y="45846"/>
              </a:lnTo>
              <a:lnTo>
                <a:pt x="257937" y="47751"/>
              </a:lnTo>
              <a:lnTo>
                <a:pt x="271779" y="47751"/>
              </a:lnTo>
              <a:lnTo>
                <a:pt x="272414" y="47116"/>
              </a:lnTo>
              <a:lnTo>
                <a:pt x="274104" y="44703"/>
              </a:lnTo>
              <a:lnTo>
                <a:pt x="275716" y="41528"/>
              </a:lnTo>
              <a:lnTo>
                <a:pt x="285166" y="41528"/>
              </a:lnTo>
              <a:lnTo>
                <a:pt x="283845" y="34797"/>
              </a:lnTo>
              <a:lnTo>
                <a:pt x="282448" y="27939"/>
              </a:lnTo>
              <a:lnTo>
                <a:pt x="280924" y="22605"/>
              </a:lnTo>
              <a:lnTo>
                <a:pt x="279080" y="18795"/>
              </a:lnTo>
              <a:lnTo>
                <a:pt x="277240" y="14604"/>
              </a:lnTo>
              <a:lnTo>
                <a:pt x="275042" y="11429"/>
              </a:lnTo>
              <a:lnTo>
                <a:pt x="273088" y="9525"/>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14</xdr:col>
      <xdr:colOff>342743</xdr:colOff>
      <xdr:row>22</xdr:row>
      <xdr:rowOff>50810</xdr:rowOff>
    </xdr:from>
    <xdr:to>
      <xdr:col>14</xdr:col>
      <xdr:colOff>592297</xdr:colOff>
      <xdr:row>23</xdr:row>
      <xdr:rowOff>142664</xdr:rowOff>
    </xdr:to>
    <xdr:sp macro="" textlink="">
      <xdr:nvSpPr>
        <xdr:cNvPr id="21" name="object 21">
          <a:extLst>
            <a:ext uri="{FF2B5EF4-FFF2-40B4-BE49-F238E27FC236}">
              <a16:creationId xmlns:a16="http://schemas.microsoft.com/office/drawing/2014/main" id="{00000000-0008-0000-0100-000015000000}"/>
            </a:ext>
          </a:extLst>
        </xdr:cNvPr>
        <xdr:cNvSpPr/>
      </xdr:nvSpPr>
      <xdr:spPr>
        <a:xfrm>
          <a:off x="9766143" y="4241810"/>
          <a:ext cx="249554" cy="282354"/>
        </a:xfrm>
        <a:custGeom>
          <a:avLst/>
          <a:gdLst/>
          <a:ahLst/>
          <a:cxnLst/>
          <a:rect l="l" t="t" r="r" b="b"/>
          <a:pathLst>
            <a:path w="249554" h="285114">
              <a:moveTo>
                <a:pt x="6477" y="194310"/>
              </a:moveTo>
              <a:lnTo>
                <a:pt x="0" y="200787"/>
              </a:lnTo>
              <a:lnTo>
                <a:pt x="48387" y="249174"/>
              </a:lnTo>
              <a:lnTo>
                <a:pt x="51755" y="253237"/>
              </a:lnTo>
              <a:lnTo>
                <a:pt x="52959" y="255524"/>
              </a:lnTo>
              <a:lnTo>
                <a:pt x="54102" y="257937"/>
              </a:lnTo>
              <a:lnTo>
                <a:pt x="54584" y="260604"/>
              </a:lnTo>
              <a:lnTo>
                <a:pt x="54102" y="263017"/>
              </a:lnTo>
              <a:lnTo>
                <a:pt x="53721" y="265684"/>
              </a:lnTo>
              <a:lnTo>
                <a:pt x="52705" y="267843"/>
              </a:lnTo>
              <a:lnTo>
                <a:pt x="49403" y="271145"/>
              </a:lnTo>
              <a:lnTo>
                <a:pt x="47625" y="272288"/>
              </a:lnTo>
              <a:lnTo>
                <a:pt x="45593" y="273050"/>
              </a:lnTo>
              <a:lnTo>
                <a:pt x="42418" y="274320"/>
              </a:lnTo>
              <a:lnTo>
                <a:pt x="37973" y="275463"/>
              </a:lnTo>
              <a:lnTo>
                <a:pt x="32258" y="276479"/>
              </a:lnTo>
              <a:lnTo>
                <a:pt x="33810" y="284480"/>
              </a:lnTo>
              <a:lnTo>
                <a:pt x="33909" y="284988"/>
              </a:lnTo>
              <a:lnTo>
                <a:pt x="39497" y="284480"/>
              </a:lnTo>
              <a:lnTo>
                <a:pt x="44069" y="283337"/>
              </a:lnTo>
              <a:lnTo>
                <a:pt x="64135" y="260604"/>
              </a:lnTo>
              <a:lnTo>
                <a:pt x="63868" y="257937"/>
              </a:lnTo>
              <a:lnTo>
                <a:pt x="63754" y="256794"/>
              </a:lnTo>
              <a:lnTo>
                <a:pt x="62103" y="253237"/>
              </a:lnTo>
              <a:lnTo>
                <a:pt x="60579" y="249555"/>
              </a:lnTo>
              <a:lnTo>
                <a:pt x="56515" y="244348"/>
              </a:lnTo>
              <a:lnTo>
                <a:pt x="49784" y="237744"/>
              </a:lnTo>
              <a:lnTo>
                <a:pt x="6477" y="194310"/>
              </a:lnTo>
              <a:close/>
            </a:path>
            <a:path w="249554" h="285114">
              <a:moveTo>
                <a:pt x="43180" y="191262"/>
              </a:moveTo>
              <a:lnTo>
                <a:pt x="42926" y="191262"/>
              </a:lnTo>
              <a:lnTo>
                <a:pt x="36957" y="197231"/>
              </a:lnTo>
              <a:lnTo>
                <a:pt x="66675" y="226822"/>
              </a:lnTo>
              <a:lnTo>
                <a:pt x="87122" y="235204"/>
              </a:lnTo>
              <a:lnTo>
                <a:pt x="97155" y="232664"/>
              </a:lnTo>
              <a:lnTo>
                <a:pt x="101981" y="229743"/>
              </a:lnTo>
              <a:lnTo>
                <a:pt x="105410" y="226314"/>
              </a:lnTo>
              <a:lnTo>
                <a:pt x="85090" y="226314"/>
              </a:lnTo>
              <a:lnTo>
                <a:pt x="81153" y="225679"/>
              </a:lnTo>
              <a:lnTo>
                <a:pt x="77343" y="223647"/>
              </a:lnTo>
              <a:lnTo>
                <a:pt x="74675" y="222123"/>
              </a:lnTo>
              <a:lnTo>
                <a:pt x="70738" y="218694"/>
              </a:lnTo>
              <a:lnTo>
                <a:pt x="65278" y="213360"/>
              </a:lnTo>
              <a:lnTo>
                <a:pt x="43180" y="191262"/>
              </a:lnTo>
              <a:close/>
            </a:path>
            <a:path w="249554" h="285114">
              <a:moveTo>
                <a:pt x="78612" y="155702"/>
              </a:moveTo>
              <a:lnTo>
                <a:pt x="72262" y="161925"/>
              </a:lnTo>
              <a:lnTo>
                <a:pt x="94487" y="184150"/>
              </a:lnTo>
              <a:lnTo>
                <a:pt x="100457" y="189992"/>
              </a:lnTo>
              <a:lnTo>
                <a:pt x="104076" y="194310"/>
              </a:lnTo>
              <a:lnTo>
                <a:pt x="107061" y="200279"/>
              </a:lnTo>
              <a:lnTo>
                <a:pt x="107569" y="204089"/>
              </a:lnTo>
              <a:lnTo>
                <a:pt x="106045" y="212090"/>
              </a:lnTo>
              <a:lnTo>
                <a:pt x="104012" y="215773"/>
              </a:lnTo>
              <a:lnTo>
                <a:pt x="97155" y="222631"/>
              </a:lnTo>
              <a:lnTo>
                <a:pt x="93345" y="224790"/>
              </a:lnTo>
              <a:lnTo>
                <a:pt x="85090" y="226314"/>
              </a:lnTo>
              <a:lnTo>
                <a:pt x="105410" y="226314"/>
              </a:lnTo>
              <a:lnTo>
                <a:pt x="111252" y="220472"/>
              </a:lnTo>
              <a:lnTo>
                <a:pt x="114046" y="215773"/>
              </a:lnTo>
              <a:lnTo>
                <a:pt x="115316" y="210820"/>
              </a:lnTo>
              <a:lnTo>
                <a:pt x="116459" y="205867"/>
              </a:lnTo>
              <a:lnTo>
                <a:pt x="116205" y="200914"/>
              </a:lnTo>
              <a:lnTo>
                <a:pt x="112649" y="191262"/>
              </a:lnTo>
              <a:lnTo>
                <a:pt x="108458" y="185547"/>
              </a:lnTo>
              <a:lnTo>
                <a:pt x="78612" y="155702"/>
              </a:lnTo>
              <a:close/>
            </a:path>
            <a:path w="249554" h="285114">
              <a:moveTo>
                <a:pt x="79629" y="117983"/>
              </a:moveTo>
              <a:lnTo>
                <a:pt x="73533" y="124079"/>
              </a:lnTo>
              <a:lnTo>
                <a:pt x="139319" y="189992"/>
              </a:lnTo>
              <a:lnTo>
                <a:pt x="145415" y="183769"/>
              </a:lnTo>
              <a:lnTo>
                <a:pt x="79629" y="117983"/>
              </a:lnTo>
              <a:close/>
            </a:path>
            <a:path w="249554" h="285114">
              <a:moveTo>
                <a:pt x="151765" y="123825"/>
              </a:moveTo>
              <a:lnTo>
                <a:pt x="127762" y="147828"/>
              </a:lnTo>
              <a:lnTo>
                <a:pt x="133096" y="153162"/>
              </a:lnTo>
              <a:lnTo>
                <a:pt x="157099" y="129159"/>
              </a:lnTo>
              <a:lnTo>
                <a:pt x="151765" y="123825"/>
              </a:lnTo>
              <a:close/>
            </a:path>
            <a:path w="249554" h="285114">
              <a:moveTo>
                <a:pt x="145796" y="54991"/>
              </a:moveTo>
              <a:lnTo>
                <a:pt x="133096" y="67691"/>
              </a:lnTo>
              <a:lnTo>
                <a:pt x="145669" y="67691"/>
              </a:lnTo>
              <a:lnTo>
                <a:pt x="203708" y="125603"/>
              </a:lnTo>
              <a:lnTo>
                <a:pt x="210058" y="119253"/>
              </a:lnTo>
              <a:lnTo>
                <a:pt x="145796" y="54991"/>
              </a:lnTo>
              <a:close/>
            </a:path>
            <a:path w="249554" h="285114">
              <a:moveTo>
                <a:pt x="240970" y="41529"/>
              </a:moveTo>
              <a:lnTo>
                <a:pt x="231648" y="41529"/>
              </a:lnTo>
              <a:lnTo>
                <a:pt x="240537" y="85217"/>
              </a:lnTo>
              <a:lnTo>
                <a:pt x="249174" y="83312"/>
              </a:lnTo>
              <a:lnTo>
                <a:pt x="241095" y="42164"/>
              </a:lnTo>
              <a:lnTo>
                <a:pt x="240970" y="41529"/>
              </a:lnTo>
              <a:close/>
            </a:path>
            <a:path w="249554" h="285114">
              <a:moveTo>
                <a:pt x="145669" y="67691"/>
              </a:moveTo>
              <a:lnTo>
                <a:pt x="133253" y="67691"/>
              </a:lnTo>
              <a:lnTo>
                <a:pt x="135636" y="77724"/>
              </a:lnTo>
              <a:lnTo>
                <a:pt x="145669" y="67691"/>
              </a:lnTo>
              <a:close/>
            </a:path>
            <a:path w="249554" h="285114">
              <a:moveTo>
                <a:pt x="210947" y="0"/>
              </a:moveTo>
              <a:lnTo>
                <a:pt x="206121" y="0"/>
              </a:lnTo>
              <a:lnTo>
                <a:pt x="196723" y="2540"/>
              </a:lnTo>
              <a:lnTo>
                <a:pt x="180086" y="26289"/>
              </a:lnTo>
              <a:lnTo>
                <a:pt x="180086" y="31115"/>
              </a:lnTo>
              <a:lnTo>
                <a:pt x="181229" y="35814"/>
              </a:lnTo>
              <a:lnTo>
                <a:pt x="182499" y="40512"/>
              </a:lnTo>
              <a:lnTo>
                <a:pt x="185038" y="44704"/>
              </a:lnTo>
              <a:lnTo>
                <a:pt x="188722" y="48387"/>
              </a:lnTo>
              <a:lnTo>
                <a:pt x="194056" y="53848"/>
              </a:lnTo>
              <a:lnTo>
                <a:pt x="201010" y="56769"/>
              </a:lnTo>
              <a:lnTo>
                <a:pt x="214884" y="56769"/>
              </a:lnTo>
              <a:lnTo>
                <a:pt x="221107" y="54356"/>
              </a:lnTo>
              <a:lnTo>
                <a:pt x="226187" y="49149"/>
              </a:lnTo>
              <a:lnTo>
                <a:pt x="227584" y="47752"/>
              </a:lnTo>
              <a:lnTo>
                <a:pt x="203200" y="47752"/>
              </a:lnTo>
              <a:lnTo>
                <a:pt x="198755" y="45847"/>
              </a:lnTo>
              <a:lnTo>
                <a:pt x="194945" y="42164"/>
              </a:lnTo>
              <a:lnTo>
                <a:pt x="191262" y="38354"/>
              </a:lnTo>
              <a:lnTo>
                <a:pt x="189357" y="33909"/>
              </a:lnTo>
              <a:lnTo>
                <a:pt x="189357" y="23368"/>
              </a:lnTo>
              <a:lnTo>
                <a:pt x="191262" y="18796"/>
              </a:lnTo>
              <a:lnTo>
                <a:pt x="198755" y="11303"/>
              </a:lnTo>
              <a:lnTo>
                <a:pt x="203327" y="9525"/>
              </a:lnTo>
              <a:lnTo>
                <a:pt x="228892" y="9525"/>
              </a:lnTo>
              <a:lnTo>
                <a:pt x="228092" y="8762"/>
              </a:lnTo>
              <a:lnTo>
                <a:pt x="224662" y="5207"/>
              </a:lnTo>
              <a:lnTo>
                <a:pt x="220472" y="2794"/>
              </a:lnTo>
              <a:lnTo>
                <a:pt x="210947" y="0"/>
              </a:lnTo>
              <a:close/>
            </a:path>
            <a:path w="249554" h="285114">
              <a:moveTo>
                <a:pt x="228892" y="9525"/>
              </a:moveTo>
              <a:lnTo>
                <a:pt x="213868" y="9525"/>
              </a:lnTo>
              <a:lnTo>
                <a:pt x="218312" y="11303"/>
              </a:lnTo>
              <a:lnTo>
                <a:pt x="221996" y="15112"/>
              </a:lnTo>
              <a:lnTo>
                <a:pt x="225806" y="18796"/>
              </a:lnTo>
              <a:lnTo>
                <a:pt x="227330" y="22606"/>
              </a:lnTo>
              <a:lnTo>
                <a:pt x="227585" y="23368"/>
              </a:lnTo>
              <a:lnTo>
                <a:pt x="227658" y="33909"/>
              </a:lnTo>
              <a:lnTo>
                <a:pt x="225806" y="38354"/>
              </a:lnTo>
              <a:lnTo>
                <a:pt x="221996" y="42037"/>
              </a:lnTo>
              <a:lnTo>
                <a:pt x="218312" y="45847"/>
              </a:lnTo>
              <a:lnTo>
                <a:pt x="213741" y="47625"/>
              </a:lnTo>
              <a:lnTo>
                <a:pt x="208534" y="47752"/>
              </a:lnTo>
              <a:lnTo>
                <a:pt x="227584" y="47752"/>
              </a:lnTo>
              <a:lnTo>
                <a:pt x="228219" y="47117"/>
              </a:lnTo>
              <a:lnTo>
                <a:pt x="229908" y="44704"/>
              </a:lnTo>
              <a:lnTo>
                <a:pt x="231648" y="41529"/>
              </a:lnTo>
              <a:lnTo>
                <a:pt x="240970" y="41529"/>
              </a:lnTo>
              <a:lnTo>
                <a:pt x="239649" y="34798"/>
              </a:lnTo>
              <a:lnTo>
                <a:pt x="238252" y="27940"/>
              </a:lnTo>
              <a:lnTo>
                <a:pt x="236728" y="22606"/>
              </a:lnTo>
              <a:lnTo>
                <a:pt x="234884" y="18796"/>
              </a:lnTo>
              <a:lnTo>
                <a:pt x="233045" y="14605"/>
              </a:lnTo>
              <a:lnTo>
                <a:pt x="230759" y="11303"/>
              </a:lnTo>
              <a:lnTo>
                <a:pt x="228892" y="9525"/>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14</xdr:col>
      <xdr:colOff>668372</xdr:colOff>
      <xdr:row>22</xdr:row>
      <xdr:rowOff>50048</xdr:rowOff>
    </xdr:from>
    <xdr:to>
      <xdr:col>15</xdr:col>
      <xdr:colOff>301204</xdr:colOff>
      <xdr:row>23</xdr:row>
      <xdr:rowOff>186352</xdr:rowOff>
    </xdr:to>
    <xdr:sp macro="" textlink="">
      <xdr:nvSpPr>
        <xdr:cNvPr id="22" name="object 22">
          <a:extLst>
            <a:ext uri="{FF2B5EF4-FFF2-40B4-BE49-F238E27FC236}">
              <a16:creationId xmlns:a16="http://schemas.microsoft.com/office/drawing/2014/main" id="{00000000-0008-0000-0100-000016000000}"/>
            </a:ext>
          </a:extLst>
        </xdr:cNvPr>
        <xdr:cNvSpPr/>
      </xdr:nvSpPr>
      <xdr:spPr>
        <a:xfrm>
          <a:off x="10091772" y="4241048"/>
          <a:ext cx="305932" cy="326804"/>
        </a:xfrm>
        <a:custGeom>
          <a:avLst/>
          <a:gdLst/>
          <a:ahLst/>
          <a:cxnLst/>
          <a:rect l="l" t="t" r="r" b="b"/>
          <a:pathLst>
            <a:path w="309245" h="329564">
              <a:moveTo>
                <a:pt x="6476" y="238760"/>
              </a:moveTo>
              <a:lnTo>
                <a:pt x="6225" y="238760"/>
              </a:lnTo>
              <a:lnTo>
                <a:pt x="0" y="245110"/>
              </a:lnTo>
              <a:lnTo>
                <a:pt x="43052" y="288290"/>
              </a:lnTo>
              <a:lnTo>
                <a:pt x="48387" y="293497"/>
              </a:lnTo>
              <a:lnTo>
                <a:pt x="51688" y="297307"/>
              </a:lnTo>
              <a:lnTo>
                <a:pt x="52831" y="299847"/>
              </a:lnTo>
              <a:lnTo>
                <a:pt x="54101" y="302260"/>
              </a:lnTo>
              <a:lnTo>
                <a:pt x="54482" y="304800"/>
              </a:lnTo>
              <a:lnTo>
                <a:pt x="32130" y="320802"/>
              </a:lnTo>
              <a:lnTo>
                <a:pt x="33908" y="329311"/>
              </a:lnTo>
              <a:lnTo>
                <a:pt x="63118" y="308864"/>
              </a:lnTo>
              <a:lnTo>
                <a:pt x="64007" y="304927"/>
              </a:lnTo>
              <a:lnTo>
                <a:pt x="63741" y="302260"/>
              </a:lnTo>
              <a:lnTo>
                <a:pt x="63626" y="301117"/>
              </a:lnTo>
              <a:lnTo>
                <a:pt x="62102" y="297561"/>
              </a:lnTo>
              <a:lnTo>
                <a:pt x="60578" y="293878"/>
              </a:lnTo>
              <a:lnTo>
                <a:pt x="56387" y="288671"/>
              </a:lnTo>
              <a:lnTo>
                <a:pt x="6476" y="238760"/>
              </a:lnTo>
              <a:close/>
            </a:path>
            <a:path w="309245" h="329564">
              <a:moveTo>
                <a:pt x="82041" y="207264"/>
              </a:moveTo>
              <a:lnTo>
                <a:pt x="49576" y="234442"/>
              </a:lnTo>
              <a:lnTo>
                <a:pt x="49070" y="239649"/>
              </a:lnTo>
              <a:lnTo>
                <a:pt x="48967" y="240919"/>
              </a:lnTo>
              <a:lnTo>
                <a:pt x="54582" y="260985"/>
              </a:lnTo>
              <a:lnTo>
                <a:pt x="54681" y="261167"/>
              </a:lnTo>
              <a:lnTo>
                <a:pt x="84200" y="277241"/>
              </a:lnTo>
              <a:lnTo>
                <a:pt x="91156" y="276693"/>
              </a:lnTo>
              <a:lnTo>
                <a:pt x="97551" y="274859"/>
              </a:lnTo>
              <a:lnTo>
                <a:pt x="103399" y="271740"/>
              </a:lnTo>
              <a:lnTo>
                <a:pt x="106721" y="268986"/>
              </a:lnTo>
              <a:lnTo>
                <a:pt x="83032" y="268986"/>
              </a:lnTo>
              <a:lnTo>
                <a:pt x="78206" y="267716"/>
              </a:lnTo>
              <a:lnTo>
                <a:pt x="73025" y="266192"/>
              </a:lnTo>
              <a:lnTo>
                <a:pt x="68960" y="263906"/>
              </a:lnTo>
              <a:lnTo>
                <a:pt x="65658" y="260477"/>
              </a:lnTo>
              <a:lnTo>
                <a:pt x="62229" y="257175"/>
              </a:lnTo>
              <a:lnTo>
                <a:pt x="59943" y="253111"/>
              </a:lnTo>
              <a:lnTo>
                <a:pt x="58698" y="248920"/>
              </a:lnTo>
              <a:lnTo>
                <a:pt x="57276" y="243712"/>
              </a:lnTo>
              <a:lnTo>
                <a:pt x="57220" y="238760"/>
              </a:lnTo>
              <a:lnTo>
                <a:pt x="58311" y="234832"/>
              </a:lnTo>
              <a:lnTo>
                <a:pt x="59562" y="229870"/>
              </a:lnTo>
              <a:lnTo>
                <a:pt x="61849" y="225933"/>
              </a:lnTo>
              <a:lnTo>
                <a:pt x="65277" y="222504"/>
              </a:lnTo>
              <a:lnTo>
                <a:pt x="70612" y="217297"/>
              </a:lnTo>
              <a:lnTo>
                <a:pt x="76659" y="214757"/>
              </a:lnTo>
              <a:lnTo>
                <a:pt x="106425" y="214757"/>
              </a:lnTo>
              <a:lnTo>
                <a:pt x="99822" y="208153"/>
              </a:lnTo>
              <a:lnTo>
                <a:pt x="87756" y="208153"/>
              </a:lnTo>
              <a:lnTo>
                <a:pt x="82041" y="207264"/>
              </a:lnTo>
              <a:close/>
            </a:path>
            <a:path w="309245" h="329564">
              <a:moveTo>
                <a:pt x="106425" y="214757"/>
              </a:moveTo>
              <a:lnTo>
                <a:pt x="91566" y="214757"/>
              </a:lnTo>
              <a:lnTo>
                <a:pt x="97916" y="217551"/>
              </a:lnTo>
              <a:lnTo>
                <a:pt x="106298" y="225933"/>
              </a:lnTo>
              <a:lnTo>
                <a:pt x="107136" y="226822"/>
              </a:lnTo>
              <a:lnTo>
                <a:pt x="109474" y="230759"/>
              </a:lnTo>
              <a:lnTo>
                <a:pt x="112013" y="239649"/>
              </a:lnTo>
              <a:lnTo>
                <a:pt x="111975" y="244475"/>
              </a:lnTo>
              <a:lnTo>
                <a:pt x="110772" y="248412"/>
              </a:lnTo>
              <a:lnTo>
                <a:pt x="109346" y="253619"/>
              </a:lnTo>
              <a:lnTo>
                <a:pt x="91820" y="267716"/>
              </a:lnTo>
              <a:lnTo>
                <a:pt x="87249" y="268986"/>
              </a:lnTo>
              <a:lnTo>
                <a:pt x="106721" y="268986"/>
              </a:lnTo>
              <a:lnTo>
                <a:pt x="108712" y="267335"/>
              </a:lnTo>
              <a:lnTo>
                <a:pt x="118921" y="245110"/>
              </a:lnTo>
              <a:lnTo>
                <a:pt x="118914" y="243712"/>
              </a:lnTo>
              <a:lnTo>
                <a:pt x="118462" y="239649"/>
              </a:lnTo>
              <a:lnTo>
                <a:pt x="118363" y="238760"/>
              </a:lnTo>
              <a:lnTo>
                <a:pt x="130428" y="238760"/>
              </a:lnTo>
              <a:lnTo>
                <a:pt x="106425" y="214757"/>
              </a:lnTo>
              <a:close/>
            </a:path>
            <a:path w="309245" h="329564">
              <a:moveTo>
                <a:pt x="130428" y="238760"/>
              </a:moveTo>
              <a:lnTo>
                <a:pt x="118363" y="238760"/>
              </a:lnTo>
              <a:lnTo>
                <a:pt x="126618" y="247015"/>
              </a:lnTo>
              <a:lnTo>
                <a:pt x="132587" y="240919"/>
              </a:lnTo>
              <a:lnTo>
                <a:pt x="130428" y="238760"/>
              </a:lnTo>
              <a:close/>
            </a:path>
            <a:path w="309245" h="329564">
              <a:moveTo>
                <a:pt x="105282" y="173228"/>
              </a:moveTo>
              <a:lnTo>
                <a:pt x="99187" y="179324"/>
              </a:lnTo>
              <a:lnTo>
                <a:pt x="146684" y="226822"/>
              </a:lnTo>
              <a:lnTo>
                <a:pt x="152780" y="220726"/>
              </a:lnTo>
              <a:lnTo>
                <a:pt x="129158" y="197104"/>
              </a:lnTo>
              <a:lnTo>
                <a:pt x="125094" y="192405"/>
              </a:lnTo>
              <a:lnTo>
                <a:pt x="123316" y="189484"/>
              </a:lnTo>
              <a:lnTo>
                <a:pt x="120650" y="185039"/>
              </a:lnTo>
              <a:lnTo>
                <a:pt x="119887" y="181737"/>
              </a:lnTo>
              <a:lnTo>
                <a:pt x="113791" y="181737"/>
              </a:lnTo>
              <a:lnTo>
                <a:pt x="105282" y="173228"/>
              </a:lnTo>
              <a:close/>
            </a:path>
            <a:path w="309245" h="329564">
              <a:moveTo>
                <a:pt x="85089" y="193421"/>
              </a:moveTo>
              <a:lnTo>
                <a:pt x="78993" y="199517"/>
              </a:lnTo>
              <a:lnTo>
                <a:pt x="87756" y="208153"/>
              </a:lnTo>
              <a:lnTo>
                <a:pt x="99822" y="208153"/>
              </a:lnTo>
              <a:lnTo>
                <a:pt x="85089" y="193421"/>
              </a:lnTo>
              <a:close/>
            </a:path>
            <a:path w="309245" h="329564">
              <a:moveTo>
                <a:pt x="157873" y="155194"/>
              </a:moveTo>
              <a:lnTo>
                <a:pt x="140080" y="155194"/>
              </a:lnTo>
              <a:lnTo>
                <a:pt x="143890" y="156210"/>
              </a:lnTo>
              <a:lnTo>
                <a:pt x="147700" y="158623"/>
              </a:lnTo>
              <a:lnTo>
                <a:pt x="149987" y="160020"/>
              </a:lnTo>
              <a:lnTo>
                <a:pt x="153924" y="163449"/>
              </a:lnTo>
              <a:lnTo>
                <a:pt x="181990" y="191516"/>
              </a:lnTo>
              <a:lnTo>
                <a:pt x="188087" y="185420"/>
              </a:lnTo>
              <a:lnTo>
                <a:pt x="163829" y="161036"/>
              </a:lnTo>
              <a:lnTo>
                <a:pt x="157873" y="155194"/>
              </a:lnTo>
              <a:close/>
            </a:path>
            <a:path w="309245" h="329564">
              <a:moveTo>
                <a:pt x="138556" y="146558"/>
              </a:moveTo>
              <a:lnTo>
                <a:pt x="113029" y="176022"/>
              </a:lnTo>
              <a:lnTo>
                <a:pt x="113791" y="181737"/>
              </a:lnTo>
              <a:lnTo>
                <a:pt x="119887" y="181737"/>
              </a:lnTo>
              <a:lnTo>
                <a:pt x="119506" y="180086"/>
              </a:lnTo>
              <a:lnTo>
                <a:pt x="120522" y="169291"/>
              </a:lnTo>
              <a:lnTo>
                <a:pt x="140080" y="155194"/>
              </a:lnTo>
              <a:lnTo>
                <a:pt x="157873" y="155194"/>
              </a:lnTo>
              <a:lnTo>
                <a:pt x="157225" y="154559"/>
              </a:lnTo>
              <a:lnTo>
                <a:pt x="151764" y="150368"/>
              </a:lnTo>
              <a:lnTo>
                <a:pt x="147446" y="148590"/>
              </a:lnTo>
              <a:lnTo>
                <a:pt x="143001" y="146939"/>
              </a:lnTo>
              <a:lnTo>
                <a:pt x="138556" y="146558"/>
              </a:lnTo>
              <a:close/>
            </a:path>
            <a:path w="309245" h="329564">
              <a:moveTo>
                <a:pt x="194817" y="125095"/>
              </a:moveTo>
              <a:lnTo>
                <a:pt x="170814" y="149098"/>
              </a:lnTo>
              <a:lnTo>
                <a:pt x="176275" y="154559"/>
              </a:lnTo>
              <a:lnTo>
                <a:pt x="176022" y="154559"/>
              </a:lnTo>
              <a:lnTo>
                <a:pt x="200151" y="130429"/>
              </a:lnTo>
              <a:lnTo>
                <a:pt x="194817" y="125095"/>
              </a:lnTo>
              <a:close/>
            </a:path>
            <a:path w="309245" h="329564">
              <a:moveTo>
                <a:pt x="224431" y="57150"/>
              </a:moveTo>
              <a:lnTo>
                <a:pt x="220218" y="57150"/>
              </a:lnTo>
              <a:lnTo>
                <a:pt x="198881" y="57658"/>
              </a:lnTo>
              <a:lnTo>
                <a:pt x="210184" y="57658"/>
              </a:lnTo>
              <a:lnTo>
                <a:pt x="214312" y="59309"/>
              </a:lnTo>
              <a:lnTo>
                <a:pt x="214121" y="59309"/>
              </a:lnTo>
              <a:lnTo>
                <a:pt x="220471" y="65659"/>
              </a:lnTo>
              <a:lnTo>
                <a:pt x="222503" y="69087"/>
              </a:lnTo>
              <a:lnTo>
                <a:pt x="223212" y="72009"/>
              </a:lnTo>
              <a:lnTo>
                <a:pt x="223805" y="74295"/>
              </a:lnTo>
              <a:lnTo>
                <a:pt x="224662" y="77343"/>
              </a:lnTo>
              <a:lnTo>
                <a:pt x="224923" y="80264"/>
              </a:lnTo>
              <a:lnTo>
                <a:pt x="224980" y="80899"/>
              </a:lnTo>
              <a:lnTo>
                <a:pt x="225082" y="82042"/>
              </a:lnTo>
              <a:lnTo>
                <a:pt x="225195" y="83312"/>
              </a:lnTo>
              <a:lnTo>
                <a:pt x="225297" y="84455"/>
              </a:lnTo>
              <a:lnTo>
                <a:pt x="225891" y="100203"/>
              </a:lnTo>
              <a:lnTo>
                <a:pt x="227710" y="145923"/>
              </a:lnTo>
              <a:lnTo>
                <a:pt x="247845" y="125730"/>
              </a:lnTo>
              <a:lnTo>
                <a:pt x="235457" y="125730"/>
              </a:lnTo>
              <a:lnTo>
                <a:pt x="234061" y="88773"/>
              </a:lnTo>
              <a:lnTo>
                <a:pt x="233970" y="86360"/>
              </a:lnTo>
              <a:lnTo>
                <a:pt x="233854" y="83312"/>
              </a:lnTo>
              <a:lnTo>
                <a:pt x="233806" y="82042"/>
              </a:lnTo>
              <a:lnTo>
                <a:pt x="233107" y="75946"/>
              </a:lnTo>
              <a:lnTo>
                <a:pt x="233005" y="75057"/>
              </a:lnTo>
              <a:lnTo>
                <a:pt x="232917" y="74295"/>
              </a:lnTo>
              <a:lnTo>
                <a:pt x="231393" y="69342"/>
              </a:lnTo>
              <a:lnTo>
                <a:pt x="229996" y="64389"/>
              </a:lnTo>
              <a:lnTo>
                <a:pt x="227456" y="60071"/>
              </a:lnTo>
              <a:lnTo>
                <a:pt x="224431" y="57150"/>
              </a:lnTo>
              <a:close/>
            </a:path>
            <a:path w="309245" h="329564">
              <a:moveTo>
                <a:pt x="265049" y="96012"/>
              </a:moveTo>
              <a:lnTo>
                <a:pt x="235457" y="125730"/>
              </a:lnTo>
              <a:lnTo>
                <a:pt x="247845" y="125730"/>
              </a:lnTo>
              <a:lnTo>
                <a:pt x="271271" y="102235"/>
              </a:lnTo>
              <a:lnTo>
                <a:pt x="265049" y="96012"/>
              </a:lnTo>
              <a:close/>
            </a:path>
            <a:path w="309245" h="329564">
              <a:moveTo>
                <a:pt x="197357" y="48260"/>
              </a:moveTo>
              <a:lnTo>
                <a:pt x="190334" y="51308"/>
              </a:lnTo>
              <a:lnTo>
                <a:pt x="190502" y="51308"/>
              </a:lnTo>
              <a:lnTo>
                <a:pt x="184784" y="57150"/>
              </a:lnTo>
              <a:lnTo>
                <a:pt x="178815" y="63119"/>
              </a:lnTo>
              <a:lnTo>
                <a:pt x="175904" y="69790"/>
              </a:lnTo>
              <a:lnTo>
                <a:pt x="175767" y="70231"/>
              </a:lnTo>
              <a:lnTo>
                <a:pt x="175767" y="86360"/>
              </a:lnTo>
              <a:lnTo>
                <a:pt x="178815" y="93726"/>
              </a:lnTo>
              <a:lnTo>
                <a:pt x="185038" y="100203"/>
              </a:lnTo>
              <a:lnTo>
                <a:pt x="191134" y="93980"/>
              </a:lnTo>
              <a:lnTo>
                <a:pt x="186562" y="88773"/>
              </a:lnTo>
              <a:lnTo>
                <a:pt x="184276" y="83312"/>
              </a:lnTo>
              <a:lnTo>
                <a:pt x="184276" y="72390"/>
              </a:lnTo>
              <a:lnTo>
                <a:pt x="186308" y="67564"/>
              </a:lnTo>
              <a:lnTo>
                <a:pt x="190500" y="63500"/>
              </a:lnTo>
              <a:lnTo>
                <a:pt x="194309" y="59562"/>
              </a:lnTo>
              <a:lnTo>
                <a:pt x="199008" y="57658"/>
              </a:lnTo>
              <a:lnTo>
                <a:pt x="210184" y="57658"/>
              </a:lnTo>
              <a:lnTo>
                <a:pt x="208914" y="57150"/>
              </a:lnTo>
              <a:lnTo>
                <a:pt x="224431" y="57150"/>
              </a:lnTo>
              <a:lnTo>
                <a:pt x="223774" y="56515"/>
              </a:lnTo>
              <a:lnTo>
                <a:pt x="218566" y="51308"/>
              </a:lnTo>
              <a:lnTo>
                <a:pt x="212216" y="48641"/>
              </a:lnTo>
              <a:lnTo>
                <a:pt x="208597" y="48641"/>
              </a:lnTo>
              <a:lnTo>
                <a:pt x="197357" y="48260"/>
              </a:lnTo>
              <a:close/>
            </a:path>
            <a:path w="309245" h="329564">
              <a:moveTo>
                <a:pt x="253872" y="0"/>
              </a:moveTo>
              <a:lnTo>
                <a:pt x="242188" y="2032"/>
              </a:lnTo>
              <a:lnTo>
                <a:pt x="237235" y="4572"/>
              </a:lnTo>
              <a:lnTo>
                <a:pt x="233171" y="8762"/>
              </a:lnTo>
              <a:lnTo>
                <a:pt x="228980" y="12827"/>
              </a:lnTo>
              <a:lnTo>
                <a:pt x="226440" y="17653"/>
              </a:lnTo>
              <a:lnTo>
                <a:pt x="224662" y="29083"/>
              </a:lnTo>
              <a:lnTo>
                <a:pt x="225459" y="34544"/>
              </a:lnTo>
              <a:lnTo>
                <a:pt x="251481" y="69790"/>
              </a:lnTo>
              <a:lnTo>
                <a:pt x="280288" y="84709"/>
              </a:lnTo>
              <a:lnTo>
                <a:pt x="286003" y="83693"/>
              </a:lnTo>
              <a:lnTo>
                <a:pt x="291591" y="82804"/>
              </a:lnTo>
              <a:lnTo>
                <a:pt x="296544" y="80264"/>
              </a:lnTo>
              <a:lnTo>
                <a:pt x="300863" y="75946"/>
              </a:lnTo>
              <a:lnTo>
                <a:pt x="279653" y="75946"/>
              </a:lnTo>
              <a:lnTo>
                <a:pt x="274954" y="75057"/>
              </a:lnTo>
              <a:lnTo>
                <a:pt x="244220" y="50800"/>
              </a:lnTo>
              <a:lnTo>
                <a:pt x="233679" y="29845"/>
              </a:lnTo>
              <a:lnTo>
                <a:pt x="234108" y="26092"/>
              </a:lnTo>
              <a:lnTo>
                <a:pt x="234187" y="25400"/>
              </a:lnTo>
              <a:lnTo>
                <a:pt x="254634" y="8890"/>
              </a:lnTo>
              <a:lnTo>
                <a:pt x="275840" y="8890"/>
              </a:lnTo>
              <a:lnTo>
                <a:pt x="272069" y="6405"/>
              </a:lnTo>
              <a:lnTo>
                <a:pt x="266826" y="3810"/>
              </a:lnTo>
              <a:lnTo>
                <a:pt x="260095" y="889"/>
              </a:lnTo>
              <a:lnTo>
                <a:pt x="253872" y="0"/>
              </a:lnTo>
              <a:close/>
            </a:path>
            <a:path w="309245" h="329564">
              <a:moveTo>
                <a:pt x="275840" y="8890"/>
              </a:moveTo>
              <a:lnTo>
                <a:pt x="254634" y="8890"/>
              </a:lnTo>
              <a:lnTo>
                <a:pt x="260349" y="10033"/>
              </a:lnTo>
              <a:lnTo>
                <a:pt x="259975" y="10033"/>
              </a:lnTo>
              <a:lnTo>
                <a:pt x="265175" y="12573"/>
              </a:lnTo>
              <a:lnTo>
                <a:pt x="270763" y="15240"/>
              </a:lnTo>
              <a:lnTo>
                <a:pt x="276732" y="19812"/>
              </a:lnTo>
              <a:lnTo>
                <a:pt x="289687" y="32766"/>
              </a:lnTo>
              <a:lnTo>
                <a:pt x="294385" y="39116"/>
              </a:lnTo>
              <a:lnTo>
                <a:pt x="297306" y="45212"/>
              </a:lnTo>
              <a:lnTo>
                <a:pt x="299846" y="50292"/>
              </a:lnTo>
              <a:lnTo>
                <a:pt x="300735" y="54991"/>
              </a:lnTo>
              <a:lnTo>
                <a:pt x="300227" y="59309"/>
              </a:lnTo>
              <a:lnTo>
                <a:pt x="299683" y="63119"/>
              </a:lnTo>
              <a:lnTo>
                <a:pt x="299592" y="63754"/>
              </a:lnTo>
              <a:lnTo>
                <a:pt x="297941" y="67056"/>
              </a:lnTo>
              <a:lnTo>
                <a:pt x="297814" y="67310"/>
              </a:lnTo>
              <a:lnTo>
                <a:pt x="294899" y="70231"/>
              </a:lnTo>
              <a:lnTo>
                <a:pt x="292226" y="73025"/>
              </a:lnTo>
              <a:lnTo>
                <a:pt x="288543" y="74676"/>
              </a:lnTo>
              <a:lnTo>
                <a:pt x="279653" y="75946"/>
              </a:lnTo>
              <a:lnTo>
                <a:pt x="300863" y="75946"/>
              </a:lnTo>
              <a:lnTo>
                <a:pt x="308897" y="57658"/>
              </a:lnTo>
              <a:lnTo>
                <a:pt x="308974" y="57150"/>
              </a:lnTo>
              <a:lnTo>
                <a:pt x="309071" y="56515"/>
              </a:lnTo>
              <a:lnTo>
                <a:pt x="309191" y="54991"/>
              </a:lnTo>
              <a:lnTo>
                <a:pt x="308355" y="49022"/>
              </a:lnTo>
              <a:lnTo>
                <a:pt x="283221" y="14597"/>
              </a:lnTo>
              <a:lnTo>
                <a:pt x="277566" y="10033"/>
              </a:lnTo>
              <a:lnTo>
                <a:pt x="275840" y="8890"/>
              </a:lnTo>
              <a:close/>
            </a:path>
            <a:path w="309245" h="329564">
              <a:moveTo>
                <a:pt x="220218" y="57150"/>
              </a:moveTo>
              <a:lnTo>
                <a:pt x="208914" y="57150"/>
              </a:lnTo>
              <a:lnTo>
                <a:pt x="210184" y="57658"/>
              </a:lnTo>
              <a:lnTo>
                <a:pt x="198881" y="57658"/>
              </a:lnTo>
              <a:lnTo>
                <a:pt x="220218" y="57150"/>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15</xdr:col>
      <xdr:colOff>400644</xdr:colOff>
      <xdr:row>22</xdr:row>
      <xdr:rowOff>50683</xdr:rowOff>
    </xdr:from>
    <xdr:to>
      <xdr:col>15</xdr:col>
      <xdr:colOff>666074</xdr:colOff>
      <xdr:row>23</xdr:row>
      <xdr:rowOff>142537</xdr:rowOff>
    </xdr:to>
    <xdr:sp macro="" textlink="">
      <xdr:nvSpPr>
        <xdr:cNvPr id="23" name="object 23">
          <a:extLst>
            <a:ext uri="{FF2B5EF4-FFF2-40B4-BE49-F238E27FC236}">
              <a16:creationId xmlns:a16="http://schemas.microsoft.com/office/drawing/2014/main" id="{00000000-0008-0000-0100-000017000000}"/>
            </a:ext>
          </a:extLst>
        </xdr:cNvPr>
        <xdr:cNvSpPr/>
      </xdr:nvSpPr>
      <xdr:spPr>
        <a:xfrm>
          <a:off x="10497144" y="4241683"/>
          <a:ext cx="265430" cy="282354"/>
        </a:xfrm>
        <a:custGeom>
          <a:avLst/>
          <a:gdLst/>
          <a:ahLst/>
          <a:cxnLst/>
          <a:rect l="l" t="t" r="r" b="b"/>
          <a:pathLst>
            <a:path w="265429" h="285114">
              <a:moveTo>
                <a:pt x="6350" y="194437"/>
              </a:moveTo>
              <a:lnTo>
                <a:pt x="0" y="200913"/>
              </a:lnTo>
              <a:lnTo>
                <a:pt x="43053" y="244094"/>
              </a:lnTo>
              <a:lnTo>
                <a:pt x="48387" y="249300"/>
              </a:lnTo>
              <a:lnTo>
                <a:pt x="51628" y="253364"/>
              </a:lnTo>
              <a:lnTo>
                <a:pt x="54102" y="258063"/>
              </a:lnTo>
              <a:lnTo>
                <a:pt x="54464" y="260731"/>
              </a:lnTo>
              <a:lnTo>
                <a:pt x="53721" y="265811"/>
              </a:lnTo>
              <a:lnTo>
                <a:pt x="45466" y="273176"/>
              </a:lnTo>
              <a:lnTo>
                <a:pt x="42291" y="274447"/>
              </a:lnTo>
              <a:lnTo>
                <a:pt x="37846" y="275589"/>
              </a:lnTo>
              <a:lnTo>
                <a:pt x="32131" y="276606"/>
              </a:lnTo>
              <a:lnTo>
                <a:pt x="33802" y="284607"/>
              </a:lnTo>
              <a:lnTo>
                <a:pt x="33909" y="285114"/>
              </a:lnTo>
              <a:lnTo>
                <a:pt x="39497" y="284607"/>
              </a:lnTo>
              <a:lnTo>
                <a:pt x="44069" y="283463"/>
              </a:lnTo>
              <a:lnTo>
                <a:pt x="63119" y="264795"/>
              </a:lnTo>
              <a:lnTo>
                <a:pt x="64008" y="260731"/>
              </a:lnTo>
              <a:lnTo>
                <a:pt x="63741" y="258063"/>
              </a:lnTo>
              <a:lnTo>
                <a:pt x="63627" y="256921"/>
              </a:lnTo>
              <a:lnTo>
                <a:pt x="62103" y="253364"/>
              </a:lnTo>
              <a:lnTo>
                <a:pt x="60579" y="249682"/>
              </a:lnTo>
              <a:lnTo>
                <a:pt x="56388" y="244475"/>
              </a:lnTo>
              <a:lnTo>
                <a:pt x="6350" y="194437"/>
              </a:lnTo>
              <a:close/>
            </a:path>
            <a:path w="265429" h="285114">
              <a:moveTo>
                <a:pt x="43180" y="191388"/>
              </a:moveTo>
              <a:lnTo>
                <a:pt x="42926" y="191388"/>
              </a:lnTo>
              <a:lnTo>
                <a:pt x="36957" y="197358"/>
              </a:lnTo>
              <a:lnTo>
                <a:pt x="66548" y="226949"/>
              </a:lnTo>
              <a:lnTo>
                <a:pt x="87122" y="235331"/>
              </a:lnTo>
              <a:lnTo>
                <a:pt x="97028" y="232791"/>
              </a:lnTo>
              <a:lnTo>
                <a:pt x="101854" y="229870"/>
              </a:lnTo>
              <a:lnTo>
                <a:pt x="105378" y="226441"/>
              </a:lnTo>
              <a:lnTo>
                <a:pt x="85090" y="226441"/>
              </a:lnTo>
              <a:lnTo>
                <a:pt x="81026" y="225806"/>
              </a:lnTo>
              <a:lnTo>
                <a:pt x="77343" y="223774"/>
              </a:lnTo>
              <a:lnTo>
                <a:pt x="74676" y="222250"/>
              </a:lnTo>
              <a:lnTo>
                <a:pt x="70612" y="218821"/>
              </a:lnTo>
              <a:lnTo>
                <a:pt x="43180" y="191388"/>
              </a:lnTo>
              <a:close/>
            </a:path>
            <a:path w="265429" h="285114">
              <a:moveTo>
                <a:pt x="78486" y="155829"/>
              </a:moveTo>
              <a:lnTo>
                <a:pt x="72263" y="162051"/>
              </a:lnTo>
              <a:lnTo>
                <a:pt x="94488" y="184276"/>
              </a:lnTo>
              <a:lnTo>
                <a:pt x="100457" y="190119"/>
              </a:lnTo>
              <a:lnTo>
                <a:pt x="104070" y="194437"/>
              </a:lnTo>
              <a:lnTo>
                <a:pt x="105156" y="196850"/>
              </a:lnTo>
              <a:lnTo>
                <a:pt x="106934" y="200406"/>
              </a:lnTo>
              <a:lnTo>
                <a:pt x="107442" y="204216"/>
              </a:lnTo>
              <a:lnTo>
                <a:pt x="85090" y="226441"/>
              </a:lnTo>
              <a:lnTo>
                <a:pt x="105378" y="226441"/>
              </a:lnTo>
              <a:lnTo>
                <a:pt x="106553" y="225298"/>
              </a:lnTo>
              <a:lnTo>
                <a:pt x="111125" y="220599"/>
              </a:lnTo>
              <a:lnTo>
                <a:pt x="114046" y="215900"/>
              </a:lnTo>
              <a:lnTo>
                <a:pt x="115189" y="210947"/>
              </a:lnTo>
              <a:lnTo>
                <a:pt x="116459" y="205994"/>
              </a:lnTo>
              <a:lnTo>
                <a:pt x="116205" y="201041"/>
              </a:lnTo>
              <a:lnTo>
                <a:pt x="114300" y="196214"/>
              </a:lnTo>
              <a:lnTo>
                <a:pt x="112522" y="191388"/>
              </a:lnTo>
              <a:lnTo>
                <a:pt x="108331" y="185674"/>
              </a:lnTo>
              <a:lnTo>
                <a:pt x="101854" y="179070"/>
              </a:lnTo>
              <a:lnTo>
                <a:pt x="78486" y="155829"/>
              </a:lnTo>
              <a:close/>
            </a:path>
            <a:path w="265429" h="285114">
              <a:moveTo>
                <a:pt x="79502" y="118110"/>
              </a:moveTo>
              <a:lnTo>
                <a:pt x="73406" y="124206"/>
              </a:lnTo>
              <a:lnTo>
                <a:pt x="139319" y="190119"/>
              </a:lnTo>
              <a:lnTo>
                <a:pt x="145415" y="183896"/>
              </a:lnTo>
              <a:lnTo>
                <a:pt x="79502" y="118110"/>
              </a:lnTo>
              <a:close/>
            </a:path>
            <a:path w="265429" h="285114">
              <a:moveTo>
                <a:pt x="151765" y="123951"/>
              </a:moveTo>
              <a:lnTo>
                <a:pt x="127762" y="147955"/>
              </a:lnTo>
              <a:lnTo>
                <a:pt x="133096" y="153288"/>
              </a:lnTo>
              <a:lnTo>
                <a:pt x="157099" y="129286"/>
              </a:lnTo>
              <a:lnTo>
                <a:pt x="151765" y="123951"/>
              </a:lnTo>
              <a:close/>
            </a:path>
            <a:path w="265429" h="285114">
              <a:moveTo>
                <a:pt x="180761" y="57658"/>
              </a:moveTo>
              <a:lnTo>
                <a:pt x="165988" y="57658"/>
              </a:lnTo>
              <a:lnTo>
                <a:pt x="170116" y="59309"/>
              </a:lnTo>
              <a:lnTo>
                <a:pt x="169925" y="59309"/>
              </a:lnTo>
              <a:lnTo>
                <a:pt x="176276" y="65659"/>
              </a:lnTo>
              <a:lnTo>
                <a:pt x="178308" y="69087"/>
              </a:lnTo>
              <a:lnTo>
                <a:pt x="179016" y="72009"/>
              </a:lnTo>
              <a:lnTo>
                <a:pt x="179609" y="74295"/>
              </a:lnTo>
              <a:lnTo>
                <a:pt x="180467" y="77343"/>
              </a:lnTo>
              <a:lnTo>
                <a:pt x="180727" y="80263"/>
              </a:lnTo>
              <a:lnTo>
                <a:pt x="180784" y="80899"/>
              </a:lnTo>
              <a:lnTo>
                <a:pt x="180875" y="81914"/>
              </a:lnTo>
              <a:lnTo>
                <a:pt x="180999" y="83312"/>
              </a:lnTo>
              <a:lnTo>
                <a:pt x="181102" y="84455"/>
              </a:lnTo>
              <a:lnTo>
                <a:pt x="181695" y="100202"/>
              </a:lnTo>
              <a:lnTo>
                <a:pt x="183515" y="145923"/>
              </a:lnTo>
              <a:lnTo>
                <a:pt x="203649" y="125730"/>
              </a:lnTo>
              <a:lnTo>
                <a:pt x="191262" y="125730"/>
              </a:lnTo>
              <a:lnTo>
                <a:pt x="189854" y="88646"/>
              </a:lnTo>
              <a:lnTo>
                <a:pt x="189771" y="86360"/>
              </a:lnTo>
              <a:lnTo>
                <a:pt x="189661" y="83312"/>
              </a:lnTo>
              <a:lnTo>
                <a:pt x="189611" y="81914"/>
              </a:lnTo>
              <a:lnTo>
                <a:pt x="188914" y="75946"/>
              </a:lnTo>
              <a:lnTo>
                <a:pt x="188810" y="75057"/>
              </a:lnTo>
              <a:lnTo>
                <a:pt x="188722" y="74295"/>
              </a:lnTo>
              <a:lnTo>
                <a:pt x="187198" y="69342"/>
              </a:lnTo>
              <a:lnTo>
                <a:pt x="185801" y="64388"/>
              </a:lnTo>
              <a:lnTo>
                <a:pt x="183261" y="60071"/>
              </a:lnTo>
              <a:lnTo>
                <a:pt x="180761" y="57658"/>
              </a:lnTo>
              <a:close/>
            </a:path>
            <a:path w="265429" h="285114">
              <a:moveTo>
                <a:pt x="220853" y="96012"/>
              </a:moveTo>
              <a:lnTo>
                <a:pt x="191262" y="125730"/>
              </a:lnTo>
              <a:lnTo>
                <a:pt x="203649" y="125730"/>
              </a:lnTo>
              <a:lnTo>
                <a:pt x="227076" y="102235"/>
              </a:lnTo>
              <a:lnTo>
                <a:pt x="220853" y="96012"/>
              </a:lnTo>
              <a:close/>
            </a:path>
            <a:path w="265429" h="285114">
              <a:moveTo>
                <a:pt x="153162" y="48260"/>
              </a:moveTo>
              <a:lnTo>
                <a:pt x="146138" y="51308"/>
              </a:lnTo>
              <a:lnTo>
                <a:pt x="146306" y="51308"/>
              </a:lnTo>
              <a:lnTo>
                <a:pt x="140589" y="57150"/>
              </a:lnTo>
              <a:lnTo>
                <a:pt x="134620" y="63119"/>
              </a:lnTo>
              <a:lnTo>
                <a:pt x="131572" y="70104"/>
              </a:lnTo>
              <a:lnTo>
                <a:pt x="131572" y="86360"/>
              </a:lnTo>
              <a:lnTo>
                <a:pt x="134747" y="93725"/>
              </a:lnTo>
              <a:lnTo>
                <a:pt x="140843" y="100202"/>
              </a:lnTo>
              <a:lnTo>
                <a:pt x="147066" y="93980"/>
              </a:lnTo>
              <a:lnTo>
                <a:pt x="142494" y="88646"/>
              </a:lnTo>
              <a:lnTo>
                <a:pt x="140081" y="83312"/>
              </a:lnTo>
              <a:lnTo>
                <a:pt x="140081" y="72389"/>
              </a:lnTo>
              <a:lnTo>
                <a:pt x="142113" y="67563"/>
              </a:lnTo>
              <a:lnTo>
                <a:pt x="146173" y="63626"/>
              </a:lnTo>
              <a:lnTo>
                <a:pt x="150114" y="59562"/>
              </a:lnTo>
              <a:lnTo>
                <a:pt x="154813" y="57658"/>
              </a:lnTo>
              <a:lnTo>
                <a:pt x="180761" y="57658"/>
              </a:lnTo>
              <a:lnTo>
                <a:pt x="179578" y="56514"/>
              </a:lnTo>
              <a:lnTo>
                <a:pt x="174371" y="51308"/>
              </a:lnTo>
              <a:lnTo>
                <a:pt x="168021" y="48641"/>
              </a:lnTo>
              <a:lnTo>
                <a:pt x="160655" y="48513"/>
              </a:lnTo>
              <a:lnTo>
                <a:pt x="153162" y="48260"/>
              </a:lnTo>
              <a:close/>
            </a:path>
            <a:path w="265429" h="285114">
              <a:moveTo>
                <a:pt x="209677" y="0"/>
              </a:moveTo>
              <a:lnTo>
                <a:pt x="203835" y="1016"/>
              </a:lnTo>
              <a:lnTo>
                <a:pt x="198120" y="1905"/>
              </a:lnTo>
              <a:lnTo>
                <a:pt x="193040" y="4572"/>
              </a:lnTo>
              <a:lnTo>
                <a:pt x="184785" y="12826"/>
              </a:lnTo>
              <a:lnTo>
                <a:pt x="182499" y="17399"/>
              </a:lnTo>
              <a:lnTo>
                <a:pt x="182372" y="17652"/>
              </a:lnTo>
              <a:lnTo>
                <a:pt x="181356" y="23368"/>
              </a:lnTo>
              <a:lnTo>
                <a:pt x="180467" y="29083"/>
              </a:lnTo>
              <a:lnTo>
                <a:pt x="181263" y="34544"/>
              </a:lnTo>
              <a:lnTo>
                <a:pt x="207285" y="69790"/>
              </a:lnTo>
              <a:lnTo>
                <a:pt x="236093" y="84709"/>
              </a:lnTo>
              <a:lnTo>
                <a:pt x="241808" y="83693"/>
              </a:lnTo>
              <a:lnTo>
                <a:pt x="247396" y="82804"/>
              </a:lnTo>
              <a:lnTo>
                <a:pt x="252349" y="80263"/>
              </a:lnTo>
              <a:lnTo>
                <a:pt x="256667" y="75946"/>
              </a:lnTo>
              <a:lnTo>
                <a:pt x="235458" y="75946"/>
              </a:lnTo>
              <a:lnTo>
                <a:pt x="230759" y="75057"/>
              </a:lnTo>
              <a:lnTo>
                <a:pt x="200025" y="50800"/>
              </a:lnTo>
              <a:lnTo>
                <a:pt x="189484" y="29845"/>
              </a:lnTo>
              <a:lnTo>
                <a:pt x="189912" y="26092"/>
              </a:lnTo>
              <a:lnTo>
                <a:pt x="189992" y="25400"/>
              </a:lnTo>
              <a:lnTo>
                <a:pt x="190627" y="21082"/>
              </a:lnTo>
              <a:lnTo>
                <a:pt x="192282" y="17652"/>
              </a:lnTo>
              <a:lnTo>
                <a:pt x="192405" y="17399"/>
              </a:lnTo>
              <a:lnTo>
                <a:pt x="197993" y="11811"/>
              </a:lnTo>
              <a:lnTo>
                <a:pt x="201676" y="10033"/>
              </a:lnTo>
              <a:lnTo>
                <a:pt x="205994" y="9398"/>
              </a:lnTo>
              <a:lnTo>
                <a:pt x="210439" y="8889"/>
              </a:lnTo>
              <a:lnTo>
                <a:pt x="231644" y="8889"/>
              </a:lnTo>
              <a:lnTo>
                <a:pt x="227873" y="6405"/>
              </a:lnTo>
              <a:lnTo>
                <a:pt x="222631" y="3810"/>
              </a:lnTo>
              <a:lnTo>
                <a:pt x="215900" y="888"/>
              </a:lnTo>
              <a:lnTo>
                <a:pt x="209677" y="0"/>
              </a:lnTo>
              <a:close/>
            </a:path>
            <a:path w="265429" h="285114">
              <a:moveTo>
                <a:pt x="231644" y="8889"/>
              </a:moveTo>
              <a:lnTo>
                <a:pt x="210439" y="8889"/>
              </a:lnTo>
              <a:lnTo>
                <a:pt x="216153" y="10033"/>
              </a:lnTo>
              <a:lnTo>
                <a:pt x="215779" y="10033"/>
              </a:lnTo>
              <a:lnTo>
                <a:pt x="220980" y="12573"/>
              </a:lnTo>
              <a:lnTo>
                <a:pt x="226568" y="15239"/>
              </a:lnTo>
              <a:lnTo>
                <a:pt x="232537" y="19812"/>
              </a:lnTo>
              <a:lnTo>
                <a:pt x="245491" y="32766"/>
              </a:lnTo>
              <a:lnTo>
                <a:pt x="250190" y="39116"/>
              </a:lnTo>
              <a:lnTo>
                <a:pt x="253111" y="45212"/>
              </a:lnTo>
              <a:lnTo>
                <a:pt x="255651" y="50292"/>
              </a:lnTo>
              <a:lnTo>
                <a:pt x="256540" y="54991"/>
              </a:lnTo>
              <a:lnTo>
                <a:pt x="256032" y="59309"/>
              </a:lnTo>
              <a:lnTo>
                <a:pt x="255471" y="63119"/>
              </a:lnTo>
              <a:lnTo>
                <a:pt x="255397" y="63626"/>
              </a:lnTo>
              <a:lnTo>
                <a:pt x="253741" y="67056"/>
              </a:lnTo>
              <a:lnTo>
                <a:pt x="253619" y="67310"/>
              </a:lnTo>
              <a:lnTo>
                <a:pt x="250825" y="70104"/>
              </a:lnTo>
              <a:lnTo>
                <a:pt x="248031" y="73025"/>
              </a:lnTo>
              <a:lnTo>
                <a:pt x="244348" y="74675"/>
              </a:lnTo>
              <a:lnTo>
                <a:pt x="235458" y="75946"/>
              </a:lnTo>
              <a:lnTo>
                <a:pt x="256667" y="75946"/>
              </a:lnTo>
              <a:lnTo>
                <a:pt x="260604" y="72009"/>
              </a:lnTo>
              <a:lnTo>
                <a:pt x="263144" y="67056"/>
              </a:lnTo>
              <a:lnTo>
                <a:pt x="264160" y="61213"/>
              </a:lnTo>
              <a:lnTo>
                <a:pt x="264643" y="58038"/>
              </a:lnTo>
              <a:lnTo>
                <a:pt x="264701" y="57658"/>
              </a:lnTo>
              <a:lnTo>
                <a:pt x="264778" y="57150"/>
              </a:lnTo>
              <a:lnTo>
                <a:pt x="264875" y="56514"/>
              </a:lnTo>
              <a:lnTo>
                <a:pt x="264995" y="54991"/>
              </a:lnTo>
              <a:lnTo>
                <a:pt x="264160" y="49022"/>
              </a:lnTo>
              <a:lnTo>
                <a:pt x="239025" y="14597"/>
              </a:lnTo>
              <a:lnTo>
                <a:pt x="233370" y="10033"/>
              </a:lnTo>
              <a:lnTo>
                <a:pt x="231644" y="8889"/>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16</xdr:col>
      <xdr:colOff>49733</xdr:colOff>
      <xdr:row>22</xdr:row>
      <xdr:rowOff>55636</xdr:rowOff>
    </xdr:from>
    <xdr:to>
      <xdr:col>16</xdr:col>
      <xdr:colOff>353898</xdr:colOff>
      <xdr:row>23</xdr:row>
      <xdr:rowOff>186225</xdr:rowOff>
    </xdr:to>
    <xdr:sp macro="" textlink="">
      <xdr:nvSpPr>
        <xdr:cNvPr id="24" name="object 24">
          <a:extLst>
            <a:ext uri="{FF2B5EF4-FFF2-40B4-BE49-F238E27FC236}">
              <a16:creationId xmlns:a16="http://schemas.microsoft.com/office/drawing/2014/main" id="{00000000-0008-0000-0100-000018000000}"/>
            </a:ext>
          </a:extLst>
        </xdr:cNvPr>
        <xdr:cNvSpPr/>
      </xdr:nvSpPr>
      <xdr:spPr>
        <a:xfrm>
          <a:off x="10819333" y="4246636"/>
          <a:ext cx="304165" cy="321089"/>
        </a:xfrm>
        <a:custGeom>
          <a:avLst/>
          <a:gdLst/>
          <a:ahLst/>
          <a:cxnLst/>
          <a:rect l="l" t="t" r="r" b="b"/>
          <a:pathLst>
            <a:path w="304164" h="323850">
              <a:moveTo>
                <a:pt x="6603" y="233172"/>
              </a:moveTo>
              <a:lnTo>
                <a:pt x="6350" y="233172"/>
              </a:lnTo>
              <a:lnTo>
                <a:pt x="0" y="239522"/>
              </a:lnTo>
              <a:lnTo>
                <a:pt x="43179" y="282702"/>
              </a:lnTo>
              <a:lnTo>
                <a:pt x="48513" y="287909"/>
              </a:lnTo>
              <a:lnTo>
                <a:pt x="51688" y="291719"/>
              </a:lnTo>
              <a:lnTo>
                <a:pt x="52958" y="294259"/>
              </a:lnTo>
              <a:lnTo>
                <a:pt x="54228" y="296672"/>
              </a:lnTo>
              <a:lnTo>
                <a:pt x="54609" y="299212"/>
              </a:lnTo>
              <a:lnTo>
                <a:pt x="32257" y="315214"/>
              </a:lnTo>
              <a:lnTo>
                <a:pt x="33785" y="323088"/>
              </a:lnTo>
              <a:lnTo>
                <a:pt x="33908" y="323723"/>
              </a:lnTo>
              <a:lnTo>
                <a:pt x="39623" y="323088"/>
              </a:lnTo>
              <a:lnTo>
                <a:pt x="44068" y="322072"/>
              </a:lnTo>
              <a:lnTo>
                <a:pt x="63245" y="303276"/>
              </a:lnTo>
              <a:lnTo>
                <a:pt x="64134" y="299339"/>
              </a:lnTo>
              <a:lnTo>
                <a:pt x="49783" y="276479"/>
              </a:lnTo>
              <a:lnTo>
                <a:pt x="6603" y="233172"/>
              </a:lnTo>
              <a:close/>
            </a:path>
            <a:path w="304164" h="323850">
              <a:moveTo>
                <a:pt x="82168" y="201676"/>
              </a:moveTo>
              <a:lnTo>
                <a:pt x="49632" y="228854"/>
              </a:lnTo>
              <a:lnTo>
                <a:pt x="49518" y="229244"/>
              </a:lnTo>
              <a:lnTo>
                <a:pt x="49167" y="233172"/>
              </a:lnTo>
              <a:lnTo>
                <a:pt x="49087" y="234061"/>
              </a:lnTo>
              <a:lnTo>
                <a:pt x="48974" y="235331"/>
              </a:lnTo>
              <a:lnTo>
                <a:pt x="54707" y="255397"/>
              </a:lnTo>
              <a:lnTo>
                <a:pt x="54806" y="255579"/>
              </a:lnTo>
              <a:lnTo>
                <a:pt x="84200" y="271653"/>
              </a:lnTo>
              <a:lnTo>
                <a:pt x="91176" y="271105"/>
              </a:lnTo>
              <a:lnTo>
                <a:pt x="97615" y="269271"/>
              </a:lnTo>
              <a:lnTo>
                <a:pt x="103506" y="266152"/>
              </a:lnTo>
              <a:lnTo>
                <a:pt x="106840" y="263398"/>
              </a:lnTo>
              <a:lnTo>
                <a:pt x="83159" y="263398"/>
              </a:lnTo>
              <a:lnTo>
                <a:pt x="78333" y="262128"/>
              </a:lnTo>
              <a:lnTo>
                <a:pt x="58811" y="243332"/>
              </a:lnTo>
              <a:lnTo>
                <a:pt x="57276" y="238125"/>
              </a:lnTo>
              <a:lnTo>
                <a:pt x="76665" y="209169"/>
              </a:lnTo>
              <a:lnTo>
                <a:pt x="106552" y="209169"/>
              </a:lnTo>
              <a:lnTo>
                <a:pt x="99949" y="202565"/>
              </a:lnTo>
              <a:lnTo>
                <a:pt x="87883" y="202565"/>
              </a:lnTo>
              <a:lnTo>
                <a:pt x="82168" y="201676"/>
              </a:lnTo>
              <a:close/>
            </a:path>
            <a:path w="304164" h="323850">
              <a:moveTo>
                <a:pt x="106552" y="209169"/>
              </a:moveTo>
              <a:lnTo>
                <a:pt x="91566" y="209169"/>
              </a:lnTo>
              <a:lnTo>
                <a:pt x="98043" y="211963"/>
              </a:lnTo>
              <a:lnTo>
                <a:pt x="106425" y="220345"/>
              </a:lnTo>
              <a:lnTo>
                <a:pt x="107263" y="221234"/>
              </a:lnTo>
              <a:lnTo>
                <a:pt x="109600" y="225171"/>
              </a:lnTo>
              <a:lnTo>
                <a:pt x="111887" y="233172"/>
              </a:lnTo>
              <a:lnTo>
                <a:pt x="111978" y="238887"/>
              </a:lnTo>
              <a:lnTo>
                <a:pt x="110885" y="242824"/>
              </a:lnTo>
              <a:lnTo>
                <a:pt x="109473" y="248031"/>
              </a:lnTo>
              <a:lnTo>
                <a:pt x="107187" y="252095"/>
              </a:lnTo>
              <a:lnTo>
                <a:pt x="103758" y="255397"/>
              </a:lnTo>
              <a:lnTo>
                <a:pt x="100456" y="258699"/>
              </a:lnTo>
              <a:lnTo>
                <a:pt x="96519" y="260985"/>
              </a:lnTo>
              <a:lnTo>
                <a:pt x="91947" y="262128"/>
              </a:lnTo>
              <a:lnTo>
                <a:pt x="87375" y="263398"/>
              </a:lnTo>
              <a:lnTo>
                <a:pt x="106840" y="263398"/>
              </a:lnTo>
              <a:lnTo>
                <a:pt x="108838" y="261747"/>
              </a:lnTo>
              <a:lnTo>
                <a:pt x="112521" y="257937"/>
              </a:lnTo>
              <a:lnTo>
                <a:pt x="115315" y="253619"/>
              </a:lnTo>
              <a:lnTo>
                <a:pt x="116839" y="248920"/>
              </a:lnTo>
              <a:lnTo>
                <a:pt x="118490" y="244094"/>
              </a:lnTo>
              <a:lnTo>
                <a:pt x="118937" y="239522"/>
              </a:lnTo>
              <a:lnTo>
                <a:pt x="118931" y="238125"/>
              </a:lnTo>
              <a:lnTo>
                <a:pt x="118761" y="236220"/>
              </a:lnTo>
              <a:lnTo>
                <a:pt x="118682" y="235331"/>
              </a:lnTo>
              <a:lnTo>
                <a:pt x="118570" y="234061"/>
              </a:lnTo>
              <a:lnTo>
                <a:pt x="118490" y="233172"/>
              </a:lnTo>
              <a:lnTo>
                <a:pt x="130555" y="233172"/>
              </a:lnTo>
              <a:lnTo>
                <a:pt x="106552" y="209169"/>
              </a:lnTo>
              <a:close/>
            </a:path>
            <a:path w="304164" h="323850">
              <a:moveTo>
                <a:pt x="130555" y="233172"/>
              </a:moveTo>
              <a:lnTo>
                <a:pt x="118490" y="233172"/>
              </a:lnTo>
              <a:lnTo>
                <a:pt x="126618" y="241427"/>
              </a:lnTo>
              <a:lnTo>
                <a:pt x="132714" y="235331"/>
              </a:lnTo>
              <a:lnTo>
                <a:pt x="130555" y="233172"/>
              </a:lnTo>
              <a:close/>
            </a:path>
            <a:path w="304164" h="323850">
              <a:moveTo>
                <a:pt x="105409" y="167640"/>
              </a:moveTo>
              <a:lnTo>
                <a:pt x="99187" y="173736"/>
              </a:lnTo>
              <a:lnTo>
                <a:pt x="146812" y="221234"/>
              </a:lnTo>
              <a:lnTo>
                <a:pt x="152907" y="215138"/>
              </a:lnTo>
              <a:lnTo>
                <a:pt x="129158" y="191516"/>
              </a:lnTo>
              <a:lnTo>
                <a:pt x="125221" y="186817"/>
              </a:lnTo>
              <a:lnTo>
                <a:pt x="123443" y="183896"/>
              </a:lnTo>
              <a:lnTo>
                <a:pt x="120650" y="179451"/>
              </a:lnTo>
              <a:lnTo>
                <a:pt x="119972" y="176149"/>
              </a:lnTo>
              <a:lnTo>
                <a:pt x="113918" y="176149"/>
              </a:lnTo>
              <a:lnTo>
                <a:pt x="105409" y="167640"/>
              </a:lnTo>
              <a:close/>
            </a:path>
            <a:path w="304164" h="323850">
              <a:moveTo>
                <a:pt x="85216" y="187833"/>
              </a:moveTo>
              <a:lnTo>
                <a:pt x="79120" y="193929"/>
              </a:lnTo>
              <a:lnTo>
                <a:pt x="87883" y="202565"/>
              </a:lnTo>
              <a:lnTo>
                <a:pt x="99949" y="202565"/>
              </a:lnTo>
              <a:lnTo>
                <a:pt x="85216" y="187833"/>
              </a:lnTo>
              <a:close/>
            </a:path>
            <a:path w="304164" h="323850">
              <a:moveTo>
                <a:pt x="157873" y="149606"/>
              </a:moveTo>
              <a:lnTo>
                <a:pt x="140207" y="149606"/>
              </a:lnTo>
              <a:lnTo>
                <a:pt x="143890" y="150622"/>
              </a:lnTo>
              <a:lnTo>
                <a:pt x="150113" y="154432"/>
              </a:lnTo>
              <a:lnTo>
                <a:pt x="153923" y="157861"/>
              </a:lnTo>
              <a:lnTo>
                <a:pt x="182117" y="185928"/>
              </a:lnTo>
              <a:lnTo>
                <a:pt x="188213" y="179832"/>
              </a:lnTo>
              <a:lnTo>
                <a:pt x="163702" y="155321"/>
              </a:lnTo>
              <a:lnTo>
                <a:pt x="157873" y="149606"/>
              </a:lnTo>
              <a:close/>
            </a:path>
            <a:path w="304164" h="323850">
              <a:moveTo>
                <a:pt x="138683" y="140970"/>
              </a:moveTo>
              <a:lnTo>
                <a:pt x="114680" y="160782"/>
              </a:lnTo>
              <a:lnTo>
                <a:pt x="113283" y="165354"/>
              </a:lnTo>
              <a:lnTo>
                <a:pt x="113169" y="167640"/>
              </a:lnTo>
              <a:lnTo>
                <a:pt x="113099" y="169037"/>
              </a:lnTo>
              <a:lnTo>
                <a:pt x="113029" y="170434"/>
              </a:lnTo>
              <a:lnTo>
                <a:pt x="113918" y="176149"/>
              </a:lnTo>
              <a:lnTo>
                <a:pt x="119972" y="176149"/>
              </a:lnTo>
              <a:lnTo>
                <a:pt x="119633" y="174498"/>
              </a:lnTo>
              <a:lnTo>
                <a:pt x="120141" y="169037"/>
              </a:lnTo>
              <a:lnTo>
                <a:pt x="120405" y="165354"/>
              </a:lnTo>
              <a:lnTo>
                <a:pt x="120522" y="163703"/>
              </a:lnTo>
              <a:lnTo>
                <a:pt x="122681" y="159131"/>
              </a:lnTo>
              <a:lnTo>
                <a:pt x="129539" y="152273"/>
              </a:lnTo>
              <a:lnTo>
                <a:pt x="132968" y="150368"/>
              </a:lnTo>
              <a:lnTo>
                <a:pt x="140207" y="149606"/>
              </a:lnTo>
              <a:lnTo>
                <a:pt x="157873" y="149606"/>
              </a:lnTo>
              <a:lnTo>
                <a:pt x="157225" y="148971"/>
              </a:lnTo>
              <a:lnTo>
                <a:pt x="151891" y="144780"/>
              </a:lnTo>
              <a:lnTo>
                <a:pt x="147446" y="143002"/>
              </a:lnTo>
              <a:lnTo>
                <a:pt x="143128" y="141351"/>
              </a:lnTo>
              <a:lnTo>
                <a:pt x="138683" y="140970"/>
              </a:lnTo>
              <a:close/>
            </a:path>
            <a:path w="304164" h="323850">
              <a:moveTo>
                <a:pt x="194944" y="119507"/>
              </a:moveTo>
              <a:lnTo>
                <a:pt x="170941" y="143510"/>
              </a:lnTo>
              <a:lnTo>
                <a:pt x="176402" y="148971"/>
              </a:lnTo>
              <a:lnTo>
                <a:pt x="176149" y="148971"/>
              </a:lnTo>
              <a:lnTo>
                <a:pt x="200278" y="124841"/>
              </a:lnTo>
              <a:lnTo>
                <a:pt x="194944" y="119507"/>
              </a:lnTo>
              <a:close/>
            </a:path>
            <a:path w="304164" h="323850">
              <a:moveTo>
                <a:pt x="225043" y="52070"/>
              </a:moveTo>
              <a:lnTo>
                <a:pt x="210311" y="52070"/>
              </a:lnTo>
              <a:lnTo>
                <a:pt x="214121" y="53594"/>
              </a:lnTo>
              <a:lnTo>
                <a:pt x="217677" y="57277"/>
              </a:lnTo>
              <a:lnTo>
                <a:pt x="225302" y="77724"/>
              </a:lnTo>
              <a:lnTo>
                <a:pt x="225425" y="78867"/>
              </a:lnTo>
              <a:lnTo>
                <a:pt x="227710" y="140335"/>
              </a:lnTo>
              <a:lnTo>
                <a:pt x="247903" y="120142"/>
              </a:lnTo>
              <a:lnTo>
                <a:pt x="235584" y="120142"/>
              </a:lnTo>
              <a:lnTo>
                <a:pt x="234188" y="83185"/>
              </a:lnTo>
              <a:lnTo>
                <a:pt x="234097" y="80772"/>
              </a:lnTo>
              <a:lnTo>
                <a:pt x="233981" y="77724"/>
              </a:lnTo>
              <a:lnTo>
                <a:pt x="233933" y="76454"/>
              </a:lnTo>
              <a:lnTo>
                <a:pt x="232917" y="68707"/>
              </a:lnTo>
              <a:lnTo>
                <a:pt x="231520" y="63754"/>
              </a:lnTo>
              <a:lnTo>
                <a:pt x="229996" y="58801"/>
              </a:lnTo>
              <a:lnTo>
                <a:pt x="227456" y="54483"/>
              </a:lnTo>
              <a:lnTo>
                <a:pt x="225043" y="52070"/>
              </a:lnTo>
              <a:close/>
            </a:path>
            <a:path w="304164" h="323850">
              <a:moveTo>
                <a:pt x="265175" y="90424"/>
              </a:moveTo>
              <a:lnTo>
                <a:pt x="235584" y="120142"/>
              </a:lnTo>
              <a:lnTo>
                <a:pt x="247903" y="120142"/>
              </a:lnTo>
              <a:lnTo>
                <a:pt x="271398" y="96647"/>
              </a:lnTo>
              <a:lnTo>
                <a:pt x="265175" y="90424"/>
              </a:lnTo>
              <a:close/>
            </a:path>
            <a:path w="304164" h="323850">
              <a:moveTo>
                <a:pt x="197357" y="42672"/>
              </a:moveTo>
              <a:lnTo>
                <a:pt x="190466" y="45720"/>
              </a:lnTo>
              <a:lnTo>
                <a:pt x="190626" y="45720"/>
              </a:lnTo>
              <a:lnTo>
                <a:pt x="178815" y="57531"/>
              </a:lnTo>
              <a:lnTo>
                <a:pt x="176001" y="64262"/>
              </a:lnTo>
              <a:lnTo>
                <a:pt x="175894" y="80772"/>
              </a:lnTo>
              <a:lnTo>
                <a:pt x="178942" y="88138"/>
              </a:lnTo>
              <a:lnTo>
                <a:pt x="185165" y="94615"/>
              </a:lnTo>
              <a:lnTo>
                <a:pt x="191262" y="88392"/>
              </a:lnTo>
              <a:lnTo>
                <a:pt x="186689" y="83185"/>
              </a:lnTo>
              <a:lnTo>
                <a:pt x="184403" y="77724"/>
              </a:lnTo>
              <a:lnTo>
                <a:pt x="184403" y="66802"/>
              </a:lnTo>
              <a:lnTo>
                <a:pt x="186435" y="61976"/>
              </a:lnTo>
              <a:lnTo>
                <a:pt x="194437" y="53975"/>
              </a:lnTo>
              <a:lnTo>
                <a:pt x="199008" y="52070"/>
              </a:lnTo>
              <a:lnTo>
                <a:pt x="225043" y="52070"/>
              </a:lnTo>
              <a:lnTo>
                <a:pt x="218693" y="45720"/>
              </a:lnTo>
              <a:lnTo>
                <a:pt x="212343" y="43053"/>
              </a:lnTo>
              <a:lnTo>
                <a:pt x="208597" y="43053"/>
              </a:lnTo>
              <a:lnTo>
                <a:pt x="197357" y="42672"/>
              </a:lnTo>
              <a:close/>
            </a:path>
            <a:path w="304164" h="323850">
              <a:moveTo>
                <a:pt x="252094" y="12573"/>
              </a:moveTo>
              <a:lnTo>
                <a:pt x="239521" y="12573"/>
              </a:lnTo>
              <a:lnTo>
                <a:pt x="297433" y="70612"/>
              </a:lnTo>
              <a:lnTo>
                <a:pt x="303783" y="64262"/>
              </a:lnTo>
              <a:lnTo>
                <a:pt x="252094" y="12573"/>
              </a:lnTo>
              <a:close/>
            </a:path>
            <a:path w="304164" h="323850">
              <a:moveTo>
                <a:pt x="239521" y="0"/>
              </a:moveTo>
              <a:lnTo>
                <a:pt x="226948" y="12573"/>
              </a:lnTo>
              <a:lnTo>
                <a:pt x="229362" y="22733"/>
              </a:lnTo>
              <a:lnTo>
                <a:pt x="239521" y="12573"/>
              </a:lnTo>
              <a:lnTo>
                <a:pt x="252094" y="12573"/>
              </a:lnTo>
              <a:lnTo>
                <a:pt x="239521" y="0"/>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16</xdr:col>
      <xdr:colOff>456386</xdr:colOff>
      <xdr:row>22</xdr:row>
      <xdr:rowOff>56272</xdr:rowOff>
    </xdr:from>
    <xdr:to>
      <xdr:col>17</xdr:col>
      <xdr:colOff>39688</xdr:colOff>
      <xdr:row>23</xdr:row>
      <xdr:rowOff>143046</xdr:rowOff>
    </xdr:to>
    <xdr:sp macro="" textlink="">
      <xdr:nvSpPr>
        <xdr:cNvPr id="25" name="object 25">
          <a:extLst>
            <a:ext uri="{FF2B5EF4-FFF2-40B4-BE49-F238E27FC236}">
              <a16:creationId xmlns:a16="http://schemas.microsoft.com/office/drawing/2014/main" id="{00000000-0008-0000-0100-000019000000}"/>
            </a:ext>
          </a:extLst>
        </xdr:cNvPr>
        <xdr:cNvSpPr/>
      </xdr:nvSpPr>
      <xdr:spPr>
        <a:xfrm>
          <a:off x="11225986" y="4247272"/>
          <a:ext cx="256402" cy="277274"/>
        </a:xfrm>
        <a:custGeom>
          <a:avLst/>
          <a:gdLst/>
          <a:ahLst/>
          <a:cxnLst/>
          <a:rect l="l" t="t" r="r" b="b"/>
          <a:pathLst>
            <a:path w="259714" h="280035">
              <a:moveTo>
                <a:pt x="6476" y="188849"/>
              </a:moveTo>
              <a:lnTo>
                <a:pt x="0" y="195325"/>
              </a:lnTo>
              <a:lnTo>
                <a:pt x="43179" y="238506"/>
              </a:lnTo>
              <a:lnTo>
                <a:pt x="48513" y="243712"/>
              </a:lnTo>
              <a:lnTo>
                <a:pt x="51755" y="247776"/>
              </a:lnTo>
              <a:lnTo>
                <a:pt x="54228" y="252475"/>
              </a:lnTo>
              <a:lnTo>
                <a:pt x="54591" y="255143"/>
              </a:lnTo>
              <a:lnTo>
                <a:pt x="53848" y="260223"/>
              </a:lnTo>
              <a:lnTo>
                <a:pt x="45592" y="267588"/>
              </a:lnTo>
              <a:lnTo>
                <a:pt x="42417" y="268859"/>
              </a:lnTo>
              <a:lnTo>
                <a:pt x="37973" y="270001"/>
              </a:lnTo>
              <a:lnTo>
                <a:pt x="32258" y="271018"/>
              </a:lnTo>
              <a:lnTo>
                <a:pt x="33929" y="279019"/>
              </a:lnTo>
              <a:lnTo>
                <a:pt x="34036" y="279526"/>
              </a:lnTo>
              <a:lnTo>
                <a:pt x="39624" y="279019"/>
              </a:lnTo>
              <a:lnTo>
                <a:pt x="44196" y="277875"/>
              </a:lnTo>
              <a:lnTo>
                <a:pt x="64135" y="255143"/>
              </a:lnTo>
              <a:lnTo>
                <a:pt x="63868" y="252475"/>
              </a:lnTo>
              <a:lnTo>
                <a:pt x="63753" y="251333"/>
              </a:lnTo>
              <a:lnTo>
                <a:pt x="62229" y="247776"/>
              </a:lnTo>
              <a:lnTo>
                <a:pt x="60578" y="244094"/>
              </a:lnTo>
              <a:lnTo>
                <a:pt x="56514" y="238887"/>
              </a:lnTo>
              <a:lnTo>
                <a:pt x="6476" y="188849"/>
              </a:lnTo>
              <a:close/>
            </a:path>
            <a:path w="259714" h="280035">
              <a:moveTo>
                <a:pt x="43306" y="185800"/>
              </a:moveTo>
              <a:lnTo>
                <a:pt x="43052" y="185800"/>
              </a:lnTo>
              <a:lnTo>
                <a:pt x="37084" y="191770"/>
              </a:lnTo>
              <a:lnTo>
                <a:pt x="66675" y="221361"/>
              </a:lnTo>
              <a:lnTo>
                <a:pt x="87249" y="229743"/>
              </a:lnTo>
              <a:lnTo>
                <a:pt x="97154" y="227203"/>
              </a:lnTo>
              <a:lnTo>
                <a:pt x="101980" y="224282"/>
              </a:lnTo>
              <a:lnTo>
                <a:pt x="105505" y="220853"/>
              </a:lnTo>
              <a:lnTo>
                <a:pt x="85216" y="220853"/>
              </a:lnTo>
              <a:lnTo>
                <a:pt x="81152" y="220218"/>
              </a:lnTo>
              <a:lnTo>
                <a:pt x="77469" y="218186"/>
              </a:lnTo>
              <a:lnTo>
                <a:pt x="74802" y="216662"/>
              </a:lnTo>
              <a:lnTo>
                <a:pt x="70738" y="213233"/>
              </a:lnTo>
              <a:lnTo>
                <a:pt x="43306" y="185800"/>
              </a:lnTo>
              <a:close/>
            </a:path>
            <a:path w="259714" h="280035">
              <a:moveTo>
                <a:pt x="78612" y="150241"/>
              </a:moveTo>
              <a:lnTo>
                <a:pt x="72389" y="156463"/>
              </a:lnTo>
              <a:lnTo>
                <a:pt x="100456" y="184531"/>
              </a:lnTo>
              <a:lnTo>
                <a:pt x="104197" y="188849"/>
              </a:lnTo>
              <a:lnTo>
                <a:pt x="105283" y="191262"/>
              </a:lnTo>
              <a:lnTo>
                <a:pt x="107061" y="194818"/>
              </a:lnTo>
              <a:lnTo>
                <a:pt x="107568" y="198628"/>
              </a:lnTo>
              <a:lnTo>
                <a:pt x="85216" y="220853"/>
              </a:lnTo>
              <a:lnTo>
                <a:pt x="105505" y="220853"/>
              </a:lnTo>
              <a:lnTo>
                <a:pt x="106679" y="219710"/>
              </a:lnTo>
              <a:lnTo>
                <a:pt x="111251" y="215011"/>
              </a:lnTo>
              <a:lnTo>
                <a:pt x="114173" y="210312"/>
              </a:lnTo>
              <a:lnTo>
                <a:pt x="115315" y="205359"/>
              </a:lnTo>
              <a:lnTo>
                <a:pt x="116586" y="200406"/>
              </a:lnTo>
              <a:lnTo>
                <a:pt x="116204" y="195453"/>
              </a:lnTo>
              <a:lnTo>
                <a:pt x="112649" y="185800"/>
              </a:lnTo>
              <a:lnTo>
                <a:pt x="108458" y="180086"/>
              </a:lnTo>
              <a:lnTo>
                <a:pt x="101980" y="173482"/>
              </a:lnTo>
              <a:lnTo>
                <a:pt x="78612" y="150241"/>
              </a:lnTo>
              <a:close/>
            </a:path>
            <a:path w="259714" h="280035">
              <a:moveTo>
                <a:pt x="79628" y="112522"/>
              </a:moveTo>
              <a:lnTo>
                <a:pt x="73533" y="118618"/>
              </a:lnTo>
              <a:lnTo>
                <a:pt x="139446" y="184531"/>
              </a:lnTo>
              <a:lnTo>
                <a:pt x="145541" y="178308"/>
              </a:lnTo>
              <a:lnTo>
                <a:pt x="79628" y="112522"/>
              </a:lnTo>
              <a:close/>
            </a:path>
            <a:path w="259714" h="280035">
              <a:moveTo>
                <a:pt x="151891" y="118363"/>
              </a:moveTo>
              <a:lnTo>
                <a:pt x="127888" y="142367"/>
              </a:lnTo>
              <a:lnTo>
                <a:pt x="133223" y="147700"/>
              </a:lnTo>
              <a:lnTo>
                <a:pt x="157225" y="123698"/>
              </a:lnTo>
              <a:lnTo>
                <a:pt x="151891" y="118363"/>
              </a:lnTo>
              <a:close/>
            </a:path>
            <a:path w="259714" h="280035">
              <a:moveTo>
                <a:pt x="180888" y="52070"/>
              </a:moveTo>
              <a:lnTo>
                <a:pt x="166115" y="52070"/>
              </a:lnTo>
              <a:lnTo>
                <a:pt x="169925" y="53594"/>
              </a:lnTo>
              <a:lnTo>
                <a:pt x="176402" y="60071"/>
              </a:lnTo>
              <a:lnTo>
                <a:pt x="178308" y="63500"/>
              </a:lnTo>
              <a:lnTo>
                <a:pt x="179450" y="67691"/>
              </a:lnTo>
              <a:lnTo>
                <a:pt x="180466" y="71755"/>
              </a:lnTo>
              <a:lnTo>
                <a:pt x="181106" y="77724"/>
              </a:lnTo>
              <a:lnTo>
                <a:pt x="181228" y="78867"/>
              </a:lnTo>
              <a:lnTo>
                <a:pt x="181822" y="94614"/>
              </a:lnTo>
              <a:lnTo>
                <a:pt x="183641" y="140335"/>
              </a:lnTo>
              <a:lnTo>
                <a:pt x="203776" y="120142"/>
              </a:lnTo>
              <a:lnTo>
                <a:pt x="191388" y="120142"/>
              </a:lnTo>
              <a:lnTo>
                <a:pt x="189981" y="83058"/>
              </a:lnTo>
              <a:lnTo>
                <a:pt x="189898" y="80772"/>
              </a:lnTo>
              <a:lnTo>
                <a:pt x="189788" y="77724"/>
              </a:lnTo>
              <a:lnTo>
                <a:pt x="189737" y="76326"/>
              </a:lnTo>
              <a:lnTo>
                <a:pt x="188722" y="68707"/>
              </a:lnTo>
              <a:lnTo>
                <a:pt x="185927" y="58800"/>
              </a:lnTo>
              <a:lnTo>
                <a:pt x="183387" y="54483"/>
              </a:lnTo>
              <a:lnTo>
                <a:pt x="180888" y="52070"/>
              </a:lnTo>
              <a:close/>
            </a:path>
            <a:path w="259714" h="280035">
              <a:moveTo>
                <a:pt x="220979" y="90424"/>
              </a:moveTo>
              <a:lnTo>
                <a:pt x="191388" y="120142"/>
              </a:lnTo>
              <a:lnTo>
                <a:pt x="203776" y="120142"/>
              </a:lnTo>
              <a:lnTo>
                <a:pt x="227202" y="96647"/>
              </a:lnTo>
              <a:lnTo>
                <a:pt x="220979" y="90424"/>
              </a:lnTo>
              <a:close/>
            </a:path>
            <a:path w="259714" h="280035">
              <a:moveTo>
                <a:pt x="153288" y="42672"/>
              </a:moveTo>
              <a:lnTo>
                <a:pt x="146265" y="45720"/>
              </a:lnTo>
              <a:lnTo>
                <a:pt x="146431" y="45720"/>
              </a:lnTo>
              <a:lnTo>
                <a:pt x="134619" y="57531"/>
              </a:lnTo>
              <a:lnTo>
                <a:pt x="131805" y="64262"/>
              </a:lnTo>
              <a:lnTo>
                <a:pt x="131699" y="80772"/>
              </a:lnTo>
              <a:lnTo>
                <a:pt x="134747" y="88137"/>
              </a:lnTo>
              <a:lnTo>
                <a:pt x="140969" y="94614"/>
              </a:lnTo>
              <a:lnTo>
                <a:pt x="147065" y="88392"/>
              </a:lnTo>
              <a:lnTo>
                <a:pt x="142493" y="83058"/>
              </a:lnTo>
              <a:lnTo>
                <a:pt x="140208" y="77724"/>
              </a:lnTo>
              <a:lnTo>
                <a:pt x="140208" y="66801"/>
              </a:lnTo>
              <a:lnTo>
                <a:pt x="142239" y="61975"/>
              </a:lnTo>
              <a:lnTo>
                <a:pt x="146430" y="57912"/>
              </a:lnTo>
              <a:lnTo>
                <a:pt x="150240" y="53975"/>
              </a:lnTo>
              <a:lnTo>
                <a:pt x="154812" y="52070"/>
              </a:lnTo>
              <a:lnTo>
                <a:pt x="180888" y="52070"/>
              </a:lnTo>
              <a:lnTo>
                <a:pt x="179704" y="50926"/>
              </a:lnTo>
              <a:lnTo>
                <a:pt x="174498" y="45720"/>
              </a:lnTo>
              <a:lnTo>
                <a:pt x="168148" y="43053"/>
              </a:lnTo>
              <a:lnTo>
                <a:pt x="160781" y="42925"/>
              </a:lnTo>
              <a:lnTo>
                <a:pt x="153288" y="42672"/>
              </a:lnTo>
              <a:close/>
            </a:path>
            <a:path w="259714" h="280035">
              <a:moveTo>
                <a:pt x="208025" y="12573"/>
              </a:moveTo>
              <a:lnTo>
                <a:pt x="195325" y="12573"/>
              </a:lnTo>
              <a:lnTo>
                <a:pt x="253237" y="70612"/>
              </a:lnTo>
              <a:lnTo>
                <a:pt x="259714" y="64262"/>
              </a:lnTo>
              <a:lnTo>
                <a:pt x="208025" y="12573"/>
              </a:lnTo>
              <a:close/>
            </a:path>
            <a:path w="259714" h="280035">
              <a:moveTo>
                <a:pt x="195452" y="0"/>
              </a:moveTo>
              <a:lnTo>
                <a:pt x="182752" y="12573"/>
              </a:lnTo>
              <a:lnTo>
                <a:pt x="185292" y="22733"/>
              </a:lnTo>
              <a:lnTo>
                <a:pt x="195325" y="12573"/>
              </a:lnTo>
              <a:lnTo>
                <a:pt x="208025" y="12573"/>
              </a:lnTo>
              <a:lnTo>
                <a:pt x="195452" y="0"/>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17</xdr:col>
      <xdr:colOff>105602</xdr:colOff>
      <xdr:row>22</xdr:row>
      <xdr:rowOff>48906</xdr:rowOff>
    </xdr:from>
    <xdr:to>
      <xdr:col>17</xdr:col>
      <xdr:colOff>426912</xdr:colOff>
      <xdr:row>23</xdr:row>
      <xdr:rowOff>186480</xdr:rowOff>
    </xdr:to>
    <xdr:sp macro="" textlink="">
      <xdr:nvSpPr>
        <xdr:cNvPr id="26" name="object 26">
          <a:extLst>
            <a:ext uri="{FF2B5EF4-FFF2-40B4-BE49-F238E27FC236}">
              <a16:creationId xmlns:a16="http://schemas.microsoft.com/office/drawing/2014/main" id="{00000000-0008-0000-0100-00001A000000}"/>
            </a:ext>
          </a:extLst>
        </xdr:cNvPr>
        <xdr:cNvSpPr/>
      </xdr:nvSpPr>
      <xdr:spPr>
        <a:xfrm>
          <a:off x="11548302" y="4239906"/>
          <a:ext cx="321310" cy="328074"/>
        </a:xfrm>
        <a:custGeom>
          <a:avLst/>
          <a:gdLst/>
          <a:ahLst/>
          <a:cxnLst/>
          <a:rect l="l" t="t" r="r" b="b"/>
          <a:pathLst>
            <a:path w="321310" h="330835">
              <a:moveTo>
                <a:pt x="6603" y="239902"/>
              </a:moveTo>
              <a:lnTo>
                <a:pt x="6350" y="239902"/>
              </a:lnTo>
              <a:lnTo>
                <a:pt x="0" y="246252"/>
              </a:lnTo>
              <a:lnTo>
                <a:pt x="48387" y="294639"/>
              </a:lnTo>
              <a:lnTo>
                <a:pt x="51688" y="298450"/>
              </a:lnTo>
              <a:lnTo>
                <a:pt x="52959" y="300989"/>
              </a:lnTo>
              <a:lnTo>
                <a:pt x="54101" y="303402"/>
              </a:lnTo>
              <a:lnTo>
                <a:pt x="54610" y="305942"/>
              </a:lnTo>
              <a:lnTo>
                <a:pt x="53848" y="311150"/>
              </a:lnTo>
              <a:lnTo>
                <a:pt x="32258" y="321945"/>
              </a:lnTo>
              <a:lnTo>
                <a:pt x="33785" y="329819"/>
              </a:lnTo>
              <a:lnTo>
                <a:pt x="33909" y="330453"/>
              </a:lnTo>
              <a:lnTo>
                <a:pt x="39497" y="329819"/>
              </a:lnTo>
              <a:lnTo>
                <a:pt x="44069" y="328802"/>
              </a:lnTo>
              <a:lnTo>
                <a:pt x="63246" y="310007"/>
              </a:lnTo>
              <a:lnTo>
                <a:pt x="64135" y="306070"/>
              </a:lnTo>
              <a:lnTo>
                <a:pt x="63868" y="303402"/>
              </a:lnTo>
              <a:lnTo>
                <a:pt x="63753" y="302260"/>
              </a:lnTo>
              <a:lnTo>
                <a:pt x="62102" y="298703"/>
              </a:lnTo>
              <a:lnTo>
                <a:pt x="60578" y="295021"/>
              </a:lnTo>
              <a:lnTo>
                <a:pt x="56514" y="289813"/>
              </a:lnTo>
              <a:lnTo>
                <a:pt x="49784" y="283210"/>
              </a:lnTo>
              <a:lnTo>
                <a:pt x="6603" y="239902"/>
              </a:lnTo>
              <a:close/>
            </a:path>
            <a:path w="321310" h="330835">
              <a:moveTo>
                <a:pt x="82169" y="208407"/>
              </a:moveTo>
              <a:lnTo>
                <a:pt x="49629" y="235585"/>
              </a:lnTo>
              <a:lnTo>
                <a:pt x="49166" y="239902"/>
              </a:lnTo>
              <a:lnTo>
                <a:pt x="49087" y="240791"/>
              </a:lnTo>
              <a:lnTo>
                <a:pt x="48974" y="242062"/>
              </a:lnTo>
              <a:lnTo>
                <a:pt x="48895" y="242950"/>
              </a:lnTo>
              <a:lnTo>
                <a:pt x="49573" y="249554"/>
              </a:lnTo>
              <a:lnTo>
                <a:pt x="77221" y="277645"/>
              </a:lnTo>
              <a:lnTo>
                <a:pt x="84200" y="278384"/>
              </a:lnTo>
              <a:lnTo>
                <a:pt x="91156" y="277836"/>
              </a:lnTo>
              <a:lnTo>
                <a:pt x="97551" y="276002"/>
              </a:lnTo>
              <a:lnTo>
                <a:pt x="103399" y="272883"/>
              </a:lnTo>
              <a:lnTo>
                <a:pt x="106721" y="270128"/>
              </a:lnTo>
              <a:lnTo>
                <a:pt x="83159" y="270128"/>
              </a:lnTo>
              <a:lnTo>
                <a:pt x="78333" y="268859"/>
              </a:lnTo>
              <a:lnTo>
                <a:pt x="58811" y="250062"/>
              </a:lnTo>
              <a:lnTo>
                <a:pt x="57276" y="244855"/>
              </a:lnTo>
              <a:lnTo>
                <a:pt x="76659" y="215900"/>
              </a:lnTo>
              <a:lnTo>
                <a:pt x="106483" y="215900"/>
              </a:lnTo>
              <a:lnTo>
                <a:pt x="99861" y="209296"/>
              </a:lnTo>
              <a:lnTo>
                <a:pt x="87884" y="209296"/>
              </a:lnTo>
              <a:lnTo>
                <a:pt x="82169" y="208407"/>
              </a:lnTo>
              <a:close/>
            </a:path>
            <a:path w="321310" h="330835">
              <a:moveTo>
                <a:pt x="106483" y="215900"/>
              </a:moveTo>
              <a:lnTo>
                <a:pt x="91566" y="215900"/>
              </a:lnTo>
              <a:lnTo>
                <a:pt x="98044" y="218694"/>
              </a:lnTo>
              <a:lnTo>
                <a:pt x="103505" y="224154"/>
              </a:lnTo>
              <a:lnTo>
                <a:pt x="112013" y="240791"/>
              </a:lnTo>
              <a:lnTo>
                <a:pt x="111978" y="245617"/>
              </a:lnTo>
              <a:lnTo>
                <a:pt x="110885" y="249554"/>
              </a:lnTo>
              <a:lnTo>
                <a:pt x="109474" y="254762"/>
              </a:lnTo>
              <a:lnTo>
                <a:pt x="107061" y="258825"/>
              </a:lnTo>
              <a:lnTo>
                <a:pt x="100457" y="265429"/>
              </a:lnTo>
              <a:lnTo>
                <a:pt x="96520" y="267715"/>
              </a:lnTo>
              <a:lnTo>
                <a:pt x="91948" y="268859"/>
              </a:lnTo>
              <a:lnTo>
                <a:pt x="87249" y="270128"/>
              </a:lnTo>
              <a:lnTo>
                <a:pt x="106721" y="270128"/>
              </a:lnTo>
              <a:lnTo>
                <a:pt x="108712" y="268477"/>
              </a:lnTo>
              <a:lnTo>
                <a:pt x="118937" y="246252"/>
              </a:lnTo>
              <a:lnTo>
                <a:pt x="118931" y="244855"/>
              </a:lnTo>
              <a:lnTo>
                <a:pt x="118761" y="242950"/>
              </a:lnTo>
              <a:lnTo>
                <a:pt x="118682" y="242062"/>
              </a:lnTo>
              <a:lnTo>
                <a:pt x="118570" y="240791"/>
              </a:lnTo>
              <a:lnTo>
                <a:pt x="118490" y="239902"/>
              </a:lnTo>
              <a:lnTo>
                <a:pt x="130550" y="239902"/>
              </a:lnTo>
              <a:lnTo>
                <a:pt x="106483" y="215900"/>
              </a:lnTo>
              <a:close/>
            </a:path>
            <a:path w="321310" h="330835">
              <a:moveTo>
                <a:pt x="130550" y="239902"/>
              </a:moveTo>
              <a:lnTo>
                <a:pt x="118490" y="239902"/>
              </a:lnTo>
              <a:lnTo>
                <a:pt x="126619" y="248158"/>
              </a:lnTo>
              <a:lnTo>
                <a:pt x="132714" y="242062"/>
              </a:lnTo>
              <a:lnTo>
                <a:pt x="130550" y="239902"/>
              </a:lnTo>
              <a:close/>
            </a:path>
            <a:path w="321310" h="330835">
              <a:moveTo>
                <a:pt x="105283" y="174371"/>
              </a:moveTo>
              <a:lnTo>
                <a:pt x="99187" y="180466"/>
              </a:lnTo>
              <a:lnTo>
                <a:pt x="146685" y="227964"/>
              </a:lnTo>
              <a:lnTo>
                <a:pt x="152908" y="221869"/>
              </a:lnTo>
              <a:lnTo>
                <a:pt x="129159" y="198247"/>
              </a:lnTo>
              <a:lnTo>
                <a:pt x="125095" y="193548"/>
              </a:lnTo>
              <a:lnTo>
                <a:pt x="123316" y="190626"/>
              </a:lnTo>
              <a:lnTo>
                <a:pt x="120650" y="186182"/>
              </a:lnTo>
              <a:lnTo>
                <a:pt x="119972" y="182879"/>
              </a:lnTo>
              <a:lnTo>
                <a:pt x="113791" y="182879"/>
              </a:lnTo>
              <a:lnTo>
                <a:pt x="105283" y="174371"/>
              </a:lnTo>
              <a:close/>
            </a:path>
            <a:path w="321310" h="330835">
              <a:moveTo>
                <a:pt x="85089" y="194563"/>
              </a:moveTo>
              <a:lnTo>
                <a:pt x="79121" y="200660"/>
              </a:lnTo>
              <a:lnTo>
                <a:pt x="87884" y="209296"/>
              </a:lnTo>
              <a:lnTo>
                <a:pt x="99861" y="209296"/>
              </a:lnTo>
              <a:lnTo>
                <a:pt x="85089" y="194563"/>
              </a:lnTo>
              <a:close/>
            </a:path>
            <a:path w="321310" h="330835">
              <a:moveTo>
                <a:pt x="157873" y="156337"/>
              </a:moveTo>
              <a:lnTo>
                <a:pt x="140208" y="156337"/>
              </a:lnTo>
              <a:lnTo>
                <a:pt x="143890" y="157352"/>
              </a:lnTo>
              <a:lnTo>
                <a:pt x="147700" y="159765"/>
              </a:lnTo>
              <a:lnTo>
                <a:pt x="149987" y="161162"/>
              </a:lnTo>
              <a:lnTo>
                <a:pt x="153924" y="164591"/>
              </a:lnTo>
              <a:lnTo>
                <a:pt x="182118" y="192659"/>
              </a:lnTo>
              <a:lnTo>
                <a:pt x="188213" y="186562"/>
              </a:lnTo>
              <a:lnTo>
                <a:pt x="163702" y="162051"/>
              </a:lnTo>
              <a:lnTo>
                <a:pt x="157873" y="156337"/>
              </a:lnTo>
              <a:close/>
            </a:path>
            <a:path w="321310" h="330835">
              <a:moveTo>
                <a:pt x="138684" y="147700"/>
              </a:moveTo>
              <a:lnTo>
                <a:pt x="114681" y="167512"/>
              </a:lnTo>
              <a:lnTo>
                <a:pt x="113284" y="172085"/>
              </a:lnTo>
              <a:lnTo>
                <a:pt x="113169" y="174371"/>
              </a:lnTo>
              <a:lnTo>
                <a:pt x="113099" y="175767"/>
              </a:lnTo>
              <a:lnTo>
                <a:pt x="113030" y="177164"/>
              </a:lnTo>
              <a:lnTo>
                <a:pt x="113791" y="182879"/>
              </a:lnTo>
              <a:lnTo>
                <a:pt x="119972" y="182879"/>
              </a:lnTo>
              <a:lnTo>
                <a:pt x="119634" y="181228"/>
              </a:lnTo>
              <a:lnTo>
                <a:pt x="119917" y="177164"/>
              </a:lnTo>
              <a:lnTo>
                <a:pt x="140208" y="156337"/>
              </a:lnTo>
              <a:lnTo>
                <a:pt x="157873" y="156337"/>
              </a:lnTo>
              <a:lnTo>
                <a:pt x="157225" y="155701"/>
              </a:lnTo>
              <a:lnTo>
                <a:pt x="151891" y="151511"/>
              </a:lnTo>
              <a:lnTo>
                <a:pt x="147447" y="149733"/>
              </a:lnTo>
              <a:lnTo>
                <a:pt x="143128" y="148082"/>
              </a:lnTo>
              <a:lnTo>
                <a:pt x="138684" y="147700"/>
              </a:lnTo>
              <a:close/>
            </a:path>
            <a:path w="321310" h="330835">
              <a:moveTo>
                <a:pt x="194945" y="126237"/>
              </a:moveTo>
              <a:lnTo>
                <a:pt x="170941" y="150240"/>
              </a:lnTo>
              <a:lnTo>
                <a:pt x="176402" y="155701"/>
              </a:lnTo>
              <a:lnTo>
                <a:pt x="176149" y="155701"/>
              </a:lnTo>
              <a:lnTo>
                <a:pt x="200278" y="131572"/>
              </a:lnTo>
              <a:lnTo>
                <a:pt x="194945" y="126237"/>
              </a:lnTo>
              <a:close/>
            </a:path>
            <a:path w="321310" h="330835">
              <a:moveTo>
                <a:pt x="225044" y="58800"/>
              </a:moveTo>
              <a:lnTo>
                <a:pt x="210311" y="58800"/>
              </a:lnTo>
              <a:lnTo>
                <a:pt x="214122" y="60325"/>
              </a:lnTo>
              <a:lnTo>
                <a:pt x="217677" y="64008"/>
              </a:lnTo>
              <a:lnTo>
                <a:pt x="225302" y="84454"/>
              </a:lnTo>
              <a:lnTo>
                <a:pt x="225425" y="85598"/>
              </a:lnTo>
              <a:lnTo>
                <a:pt x="225530" y="89915"/>
              </a:lnTo>
              <a:lnTo>
                <a:pt x="225620" y="93599"/>
              </a:lnTo>
              <a:lnTo>
                <a:pt x="225734" y="97409"/>
              </a:lnTo>
              <a:lnTo>
                <a:pt x="227711" y="147065"/>
              </a:lnTo>
              <a:lnTo>
                <a:pt x="247903" y="126873"/>
              </a:lnTo>
              <a:lnTo>
                <a:pt x="235458" y="126873"/>
              </a:lnTo>
              <a:lnTo>
                <a:pt x="234445" y="97409"/>
              </a:lnTo>
              <a:lnTo>
                <a:pt x="234358" y="94869"/>
              </a:lnTo>
              <a:lnTo>
                <a:pt x="234314" y="93599"/>
              </a:lnTo>
              <a:lnTo>
                <a:pt x="234135" y="89915"/>
              </a:lnTo>
              <a:lnTo>
                <a:pt x="234017" y="87502"/>
              </a:lnTo>
              <a:lnTo>
                <a:pt x="233924" y="85598"/>
              </a:lnTo>
              <a:lnTo>
                <a:pt x="233807" y="83185"/>
              </a:lnTo>
              <a:lnTo>
                <a:pt x="232918" y="75437"/>
              </a:lnTo>
              <a:lnTo>
                <a:pt x="231521" y="70485"/>
              </a:lnTo>
              <a:lnTo>
                <a:pt x="229997" y="65532"/>
              </a:lnTo>
              <a:lnTo>
                <a:pt x="227457" y="61213"/>
              </a:lnTo>
              <a:lnTo>
                <a:pt x="225044" y="58800"/>
              </a:lnTo>
              <a:close/>
            </a:path>
            <a:path w="321310" h="330835">
              <a:moveTo>
                <a:pt x="265175" y="97154"/>
              </a:moveTo>
              <a:lnTo>
                <a:pt x="235458" y="126873"/>
              </a:lnTo>
              <a:lnTo>
                <a:pt x="247903" y="126873"/>
              </a:lnTo>
              <a:lnTo>
                <a:pt x="271399" y="103377"/>
              </a:lnTo>
              <a:lnTo>
                <a:pt x="265175" y="97154"/>
              </a:lnTo>
              <a:close/>
            </a:path>
            <a:path w="321310" h="330835">
              <a:moveTo>
                <a:pt x="197358" y="49402"/>
              </a:moveTo>
              <a:lnTo>
                <a:pt x="190466" y="52450"/>
              </a:lnTo>
              <a:lnTo>
                <a:pt x="190626" y="52450"/>
              </a:lnTo>
              <a:lnTo>
                <a:pt x="178815" y="64262"/>
              </a:lnTo>
              <a:lnTo>
                <a:pt x="175895" y="71247"/>
              </a:lnTo>
              <a:lnTo>
                <a:pt x="175895" y="87502"/>
              </a:lnTo>
              <a:lnTo>
                <a:pt x="178943" y="94869"/>
              </a:lnTo>
              <a:lnTo>
                <a:pt x="185038" y="101346"/>
              </a:lnTo>
              <a:lnTo>
                <a:pt x="191262" y="95123"/>
              </a:lnTo>
              <a:lnTo>
                <a:pt x="186689" y="89915"/>
              </a:lnTo>
              <a:lnTo>
                <a:pt x="184403" y="84454"/>
              </a:lnTo>
              <a:lnTo>
                <a:pt x="184403" y="73533"/>
              </a:lnTo>
              <a:lnTo>
                <a:pt x="186436" y="68707"/>
              </a:lnTo>
              <a:lnTo>
                <a:pt x="194437" y="60705"/>
              </a:lnTo>
              <a:lnTo>
                <a:pt x="199009" y="58800"/>
              </a:lnTo>
              <a:lnTo>
                <a:pt x="225044" y="58800"/>
              </a:lnTo>
              <a:lnTo>
                <a:pt x="218694" y="52450"/>
              </a:lnTo>
              <a:lnTo>
                <a:pt x="212344" y="49784"/>
              </a:lnTo>
              <a:lnTo>
                <a:pt x="208597" y="49784"/>
              </a:lnTo>
              <a:lnTo>
                <a:pt x="197358" y="49402"/>
              </a:lnTo>
              <a:close/>
            </a:path>
            <a:path w="321310" h="330835">
              <a:moveTo>
                <a:pt x="274447" y="9016"/>
              </a:moveTo>
              <a:lnTo>
                <a:pt x="259207" y="9016"/>
              </a:lnTo>
              <a:lnTo>
                <a:pt x="263651" y="10795"/>
              </a:lnTo>
              <a:lnTo>
                <a:pt x="270128" y="17272"/>
              </a:lnTo>
              <a:lnTo>
                <a:pt x="272034" y="20700"/>
              </a:lnTo>
              <a:lnTo>
                <a:pt x="273176" y="24764"/>
              </a:lnTo>
              <a:lnTo>
                <a:pt x="274193" y="28828"/>
              </a:lnTo>
              <a:lnTo>
                <a:pt x="274834" y="34925"/>
              </a:lnTo>
              <a:lnTo>
                <a:pt x="274955" y="36067"/>
              </a:lnTo>
              <a:lnTo>
                <a:pt x="277099" y="93599"/>
              </a:lnTo>
              <a:lnTo>
                <a:pt x="277146" y="94869"/>
              </a:lnTo>
              <a:lnTo>
                <a:pt x="277240" y="97409"/>
              </a:lnTo>
              <a:lnTo>
                <a:pt x="297492" y="77215"/>
              </a:lnTo>
              <a:lnTo>
                <a:pt x="285114" y="77215"/>
              </a:lnTo>
              <a:lnTo>
                <a:pt x="283707" y="40259"/>
              </a:lnTo>
              <a:lnTo>
                <a:pt x="283624" y="37973"/>
              </a:lnTo>
              <a:lnTo>
                <a:pt x="283514" y="34925"/>
              </a:lnTo>
              <a:lnTo>
                <a:pt x="283463" y="33527"/>
              </a:lnTo>
              <a:lnTo>
                <a:pt x="282448" y="25908"/>
              </a:lnTo>
              <a:lnTo>
                <a:pt x="279653" y="16001"/>
              </a:lnTo>
              <a:lnTo>
                <a:pt x="277113" y="11684"/>
              </a:lnTo>
              <a:lnTo>
                <a:pt x="274447" y="9016"/>
              </a:lnTo>
              <a:close/>
            </a:path>
            <a:path w="321310" h="330835">
              <a:moveTo>
                <a:pt x="314706" y="47625"/>
              </a:moveTo>
              <a:lnTo>
                <a:pt x="285114" y="77215"/>
              </a:lnTo>
              <a:lnTo>
                <a:pt x="297492" y="77215"/>
              </a:lnTo>
              <a:lnTo>
                <a:pt x="320928" y="53848"/>
              </a:lnTo>
              <a:lnTo>
                <a:pt x="314706" y="47625"/>
              </a:lnTo>
              <a:close/>
            </a:path>
            <a:path w="321310" h="330835">
              <a:moveTo>
                <a:pt x="254381" y="0"/>
              </a:moveTo>
              <a:lnTo>
                <a:pt x="246722" y="0"/>
              </a:lnTo>
              <a:lnTo>
                <a:pt x="239991" y="2921"/>
              </a:lnTo>
              <a:lnTo>
                <a:pt x="240154" y="2921"/>
              </a:lnTo>
              <a:lnTo>
                <a:pt x="234314" y="8636"/>
              </a:lnTo>
              <a:lnTo>
                <a:pt x="228346" y="14604"/>
              </a:lnTo>
              <a:lnTo>
                <a:pt x="225425" y="21716"/>
              </a:lnTo>
              <a:lnTo>
                <a:pt x="225425" y="37973"/>
              </a:lnTo>
              <a:lnTo>
                <a:pt x="228473" y="45212"/>
              </a:lnTo>
              <a:lnTo>
                <a:pt x="234696" y="51815"/>
              </a:lnTo>
              <a:lnTo>
                <a:pt x="240791" y="45592"/>
              </a:lnTo>
              <a:lnTo>
                <a:pt x="236220" y="40259"/>
              </a:lnTo>
              <a:lnTo>
                <a:pt x="233934" y="34925"/>
              </a:lnTo>
              <a:lnTo>
                <a:pt x="233934" y="24002"/>
              </a:lnTo>
              <a:lnTo>
                <a:pt x="235965" y="19176"/>
              </a:lnTo>
              <a:lnTo>
                <a:pt x="243966" y="11175"/>
              </a:lnTo>
              <a:lnTo>
                <a:pt x="248538" y="9144"/>
              </a:lnTo>
              <a:lnTo>
                <a:pt x="253873" y="9144"/>
              </a:lnTo>
              <a:lnTo>
                <a:pt x="259207" y="9016"/>
              </a:lnTo>
              <a:lnTo>
                <a:pt x="274447" y="9016"/>
              </a:lnTo>
              <a:lnTo>
                <a:pt x="273431" y="8000"/>
              </a:lnTo>
              <a:lnTo>
                <a:pt x="268224" y="2921"/>
              </a:lnTo>
              <a:lnTo>
                <a:pt x="261874" y="253"/>
              </a:lnTo>
              <a:lnTo>
                <a:pt x="254381" y="0"/>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17</xdr:col>
      <xdr:colOff>512255</xdr:colOff>
      <xdr:row>22</xdr:row>
      <xdr:rowOff>49541</xdr:rowOff>
    </xdr:from>
    <xdr:to>
      <xdr:col>18</xdr:col>
      <xdr:colOff>112702</xdr:colOff>
      <xdr:row>23</xdr:row>
      <xdr:rowOff>142665</xdr:rowOff>
    </xdr:to>
    <xdr:sp macro="" textlink="">
      <xdr:nvSpPr>
        <xdr:cNvPr id="27" name="object 27">
          <a:extLst>
            <a:ext uri="{FF2B5EF4-FFF2-40B4-BE49-F238E27FC236}">
              <a16:creationId xmlns:a16="http://schemas.microsoft.com/office/drawing/2014/main" id="{00000000-0008-0000-0100-00001B000000}"/>
            </a:ext>
          </a:extLst>
        </xdr:cNvPr>
        <xdr:cNvSpPr/>
      </xdr:nvSpPr>
      <xdr:spPr>
        <a:xfrm>
          <a:off x="11954955" y="4240541"/>
          <a:ext cx="273547" cy="283624"/>
        </a:xfrm>
        <a:custGeom>
          <a:avLst/>
          <a:gdLst/>
          <a:ahLst/>
          <a:cxnLst/>
          <a:rect l="l" t="t" r="r" b="b"/>
          <a:pathLst>
            <a:path w="276859" h="286385">
              <a:moveTo>
                <a:pt x="6477" y="195579"/>
              </a:moveTo>
              <a:lnTo>
                <a:pt x="0" y="202056"/>
              </a:lnTo>
              <a:lnTo>
                <a:pt x="43180" y="245237"/>
              </a:lnTo>
              <a:lnTo>
                <a:pt x="48514" y="250443"/>
              </a:lnTo>
              <a:lnTo>
                <a:pt x="51755" y="254507"/>
              </a:lnTo>
              <a:lnTo>
                <a:pt x="54229" y="259206"/>
              </a:lnTo>
              <a:lnTo>
                <a:pt x="54591" y="261874"/>
              </a:lnTo>
              <a:lnTo>
                <a:pt x="53848" y="266953"/>
              </a:lnTo>
              <a:lnTo>
                <a:pt x="52705" y="269113"/>
              </a:lnTo>
              <a:lnTo>
                <a:pt x="49403" y="272414"/>
              </a:lnTo>
              <a:lnTo>
                <a:pt x="47752" y="273557"/>
              </a:lnTo>
              <a:lnTo>
                <a:pt x="45593" y="274319"/>
              </a:lnTo>
              <a:lnTo>
                <a:pt x="42418" y="275589"/>
              </a:lnTo>
              <a:lnTo>
                <a:pt x="37973" y="276732"/>
              </a:lnTo>
              <a:lnTo>
                <a:pt x="32258" y="277749"/>
              </a:lnTo>
              <a:lnTo>
                <a:pt x="33929" y="285750"/>
              </a:lnTo>
              <a:lnTo>
                <a:pt x="34036" y="286257"/>
              </a:lnTo>
              <a:lnTo>
                <a:pt x="39624" y="285750"/>
              </a:lnTo>
              <a:lnTo>
                <a:pt x="44069" y="284606"/>
              </a:lnTo>
              <a:lnTo>
                <a:pt x="64135" y="261874"/>
              </a:lnTo>
              <a:lnTo>
                <a:pt x="63868" y="259206"/>
              </a:lnTo>
              <a:lnTo>
                <a:pt x="49784" y="239013"/>
              </a:lnTo>
              <a:lnTo>
                <a:pt x="6477" y="195579"/>
              </a:lnTo>
              <a:close/>
            </a:path>
            <a:path w="276859" h="286385">
              <a:moveTo>
                <a:pt x="43306" y="192531"/>
              </a:moveTo>
              <a:lnTo>
                <a:pt x="43053" y="192531"/>
              </a:lnTo>
              <a:lnTo>
                <a:pt x="37084" y="198500"/>
              </a:lnTo>
              <a:lnTo>
                <a:pt x="66675" y="228091"/>
              </a:lnTo>
              <a:lnTo>
                <a:pt x="87249" y="236474"/>
              </a:lnTo>
              <a:lnTo>
                <a:pt x="97155" y="233934"/>
              </a:lnTo>
              <a:lnTo>
                <a:pt x="101981" y="231012"/>
              </a:lnTo>
              <a:lnTo>
                <a:pt x="105410" y="227584"/>
              </a:lnTo>
              <a:lnTo>
                <a:pt x="85089" y="227584"/>
              </a:lnTo>
              <a:lnTo>
                <a:pt x="81153" y="226949"/>
              </a:lnTo>
              <a:lnTo>
                <a:pt x="77342" y="224916"/>
              </a:lnTo>
              <a:lnTo>
                <a:pt x="74803" y="223392"/>
              </a:lnTo>
              <a:lnTo>
                <a:pt x="70738" y="219963"/>
              </a:lnTo>
              <a:lnTo>
                <a:pt x="65278" y="214629"/>
              </a:lnTo>
              <a:lnTo>
                <a:pt x="43306" y="192531"/>
              </a:lnTo>
              <a:close/>
            </a:path>
            <a:path w="276859" h="286385">
              <a:moveTo>
                <a:pt x="78612" y="156972"/>
              </a:moveTo>
              <a:lnTo>
                <a:pt x="72389" y="163194"/>
              </a:lnTo>
              <a:lnTo>
                <a:pt x="94487" y="185419"/>
              </a:lnTo>
              <a:lnTo>
                <a:pt x="100457" y="191262"/>
              </a:lnTo>
              <a:lnTo>
                <a:pt x="104076" y="195579"/>
              </a:lnTo>
              <a:lnTo>
                <a:pt x="107061" y="201549"/>
              </a:lnTo>
              <a:lnTo>
                <a:pt x="107568" y="205359"/>
              </a:lnTo>
              <a:lnTo>
                <a:pt x="106807" y="209295"/>
              </a:lnTo>
              <a:lnTo>
                <a:pt x="106172" y="213360"/>
              </a:lnTo>
              <a:lnTo>
                <a:pt x="104012" y="217042"/>
              </a:lnTo>
              <a:lnTo>
                <a:pt x="100584" y="220472"/>
              </a:lnTo>
              <a:lnTo>
                <a:pt x="97282" y="223900"/>
              </a:lnTo>
              <a:lnTo>
                <a:pt x="93472" y="226060"/>
              </a:lnTo>
              <a:lnTo>
                <a:pt x="85089" y="227584"/>
              </a:lnTo>
              <a:lnTo>
                <a:pt x="105410" y="227584"/>
              </a:lnTo>
              <a:lnTo>
                <a:pt x="111252" y="221741"/>
              </a:lnTo>
              <a:lnTo>
                <a:pt x="114173" y="217042"/>
              </a:lnTo>
              <a:lnTo>
                <a:pt x="115315" y="212089"/>
              </a:lnTo>
              <a:lnTo>
                <a:pt x="116586" y="207137"/>
              </a:lnTo>
              <a:lnTo>
                <a:pt x="116205" y="202184"/>
              </a:lnTo>
              <a:lnTo>
                <a:pt x="112649" y="192531"/>
              </a:lnTo>
              <a:lnTo>
                <a:pt x="108458" y="186816"/>
              </a:lnTo>
              <a:lnTo>
                <a:pt x="101981" y="180212"/>
              </a:lnTo>
              <a:lnTo>
                <a:pt x="78612" y="156972"/>
              </a:lnTo>
              <a:close/>
            </a:path>
            <a:path w="276859" h="286385">
              <a:moveTo>
                <a:pt x="79629" y="119252"/>
              </a:moveTo>
              <a:lnTo>
                <a:pt x="73533" y="125349"/>
              </a:lnTo>
              <a:lnTo>
                <a:pt x="139318" y="191262"/>
              </a:lnTo>
              <a:lnTo>
                <a:pt x="145541" y="185038"/>
              </a:lnTo>
              <a:lnTo>
                <a:pt x="79629" y="119252"/>
              </a:lnTo>
              <a:close/>
            </a:path>
            <a:path w="276859" h="286385">
              <a:moveTo>
                <a:pt x="151891" y="125094"/>
              </a:moveTo>
              <a:lnTo>
                <a:pt x="127762" y="149098"/>
              </a:lnTo>
              <a:lnTo>
                <a:pt x="133096" y="154431"/>
              </a:lnTo>
              <a:lnTo>
                <a:pt x="157226" y="130428"/>
              </a:lnTo>
              <a:lnTo>
                <a:pt x="151891" y="125094"/>
              </a:lnTo>
              <a:close/>
            </a:path>
            <a:path w="276859" h="286385">
              <a:moveTo>
                <a:pt x="180848" y="58800"/>
              </a:moveTo>
              <a:lnTo>
                <a:pt x="166115" y="58800"/>
              </a:lnTo>
              <a:lnTo>
                <a:pt x="169926" y="60325"/>
              </a:lnTo>
              <a:lnTo>
                <a:pt x="173482" y="64007"/>
              </a:lnTo>
              <a:lnTo>
                <a:pt x="181106" y="84454"/>
              </a:lnTo>
              <a:lnTo>
                <a:pt x="181229" y="85598"/>
              </a:lnTo>
              <a:lnTo>
                <a:pt x="183514" y="147065"/>
              </a:lnTo>
              <a:lnTo>
                <a:pt x="203708" y="126873"/>
              </a:lnTo>
              <a:lnTo>
                <a:pt x="191388" y="126873"/>
              </a:lnTo>
              <a:lnTo>
                <a:pt x="189981" y="89788"/>
              </a:lnTo>
              <a:lnTo>
                <a:pt x="189898" y="87502"/>
              </a:lnTo>
              <a:lnTo>
                <a:pt x="189788" y="84454"/>
              </a:lnTo>
              <a:lnTo>
                <a:pt x="189737" y="83057"/>
              </a:lnTo>
              <a:lnTo>
                <a:pt x="188722" y="75437"/>
              </a:lnTo>
              <a:lnTo>
                <a:pt x="185928" y="65531"/>
              </a:lnTo>
              <a:lnTo>
                <a:pt x="183261" y="61213"/>
              </a:lnTo>
              <a:lnTo>
                <a:pt x="180848" y="58800"/>
              </a:lnTo>
              <a:close/>
            </a:path>
            <a:path w="276859" h="286385">
              <a:moveTo>
                <a:pt x="220980" y="97154"/>
              </a:moveTo>
              <a:lnTo>
                <a:pt x="191388" y="126873"/>
              </a:lnTo>
              <a:lnTo>
                <a:pt x="203708" y="126873"/>
              </a:lnTo>
              <a:lnTo>
                <a:pt x="227203" y="103377"/>
              </a:lnTo>
              <a:lnTo>
                <a:pt x="220980" y="97154"/>
              </a:lnTo>
              <a:close/>
            </a:path>
            <a:path w="276859" h="286385">
              <a:moveTo>
                <a:pt x="153288" y="49402"/>
              </a:moveTo>
              <a:lnTo>
                <a:pt x="146265" y="52450"/>
              </a:lnTo>
              <a:lnTo>
                <a:pt x="146431" y="52450"/>
              </a:lnTo>
              <a:lnTo>
                <a:pt x="134620" y="64262"/>
              </a:lnTo>
              <a:lnTo>
                <a:pt x="131699" y="71247"/>
              </a:lnTo>
              <a:lnTo>
                <a:pt x="131699" y="87502"/>
              </a:lnTo>
              <a:lnTo>
                <a:pt x="134747" y="94868"/>
              </a:lnTo>
              <a:lnTo>
                <a:pt x="140970" y="101345"/>
              </a:lnTo>
              <a:lnTo>
                <a:pt x="147065" y="95123"/>
              </a:lnTo>
              <a:lnTo>
                <a:pt x="142493" y="89788"/>
              </a:lnTo>
              <a:lnTo>
                <a:pt x="140208" y="84454"/>
              </a:lnTo>
              <a:lnTo>
                <a:pt x="140208" y="73532"/>
              </a:lnTo>
              <a:lnTo>
                <a:pt x="142239" y="68706"/>
              </a:lnTo>
              <a:lnTo>
                <a:pt x="150240" y="60705"/>
              </a:lnTo>
              <a:lnTo>
                <a:pt x="154812" y="58800"/>
              </a:lnTo>
              <a:lnTo>
                <a:pt x="180848" y="58800"/>
              </a:lnTo>
              <a:lnTo>
                <a:pt x="174498" y="52450"/>
              </a:lnTo>
              <a:lnTo>
                <a:pt x="168148" y="49784"/>
              </a:lnTo>
              <a:lnTo>
                <a:pt x="160655" y="49656"/>
              </a:lnTo>
              <a:lnTo>
                <a:pt x="153288" y="49402"/>
              </a:lnTo>
              <a:close/>
            </a:path>
            <a:path w="276859" h="286385">
              <a:moveTo>
                <a:pt x="230377" y="9143"/>
              </a:moveTo>
              <a:lnTo>
                <a:pt x="215328" y="9143"/>
              </a:lnTo>
              <a:lnTo>
                <a:pt x="219456" y="10794"/>
              </a:lnTo>
              <a:lnTo>
                <a:pt x="223138" y="14350"/>
              </a:lnTo>
              <a:lnTo>
                <a:pt x="225933" y="17272"/>
              </a:lnTo>
              <a:lnTo>
                <a:pt x="227964" y="20700"/>
              </a:lnTo>
              <a:lnTo>
                <a:pt x="228981" y="24764"/>
              </a:lnTo>
              <a:lnTo>
                <a:pt x="230124" y="28828"/>
              </a:lnTo>
              <a:lnTo>
                <a:pt x="230536" y="33527"/>
              </a:lnTo>
              <a:lnTo>
                <a:pt x="230658" y="34925"/>
              </a:lnTo>
              <a:lnTo>
                <a:pt x="230759" y="36067"/>
              </a:lnTo>
              <a:lnTo>
                <a:pt x="231635" y="58800"/>
              </a:lnTo>
              <a:lnTo>
                <a:pt x="233020" y="93599"/>
              </a:lnTo>
              <a:lnTo>
                <a:pt x="233070" y="94868"/>
              </a:lnTo>
              <a:lnTo>
                <a:pt x="233172" y="97409"/>
              </a:lnTo>
              <a:lnTo>
                <a:pt x="253365" y="77215"/>
              </a:lnTo>
              <a:lnTo>
                <a:pt x="240918" y="77215"/>
              </a:lnTo>
              <a:lnTo>
                <a:pt x="239511" y="40259"/>
              </a:lnTo>
              <a:lnTo>
                <a:pt x="239428" y="37973"/>
              </a:lnTo>
              <a:lnTo>
                <a:pt x="239318" y="34925"/>
              </a:lnTo>
              <a:lnTo>
                <a:pt x="239267" y="33527"/>
              </a:lnTo>
              <a:lnTo>
                <a:pt x="238379" y="25907"/>
              </a:lnTo>
              <a:lnTo>
                <a:pt x="236855" y="20954"/>
              </a:lnTo>
              <a:lnTo>
                <a:pt x="235458" y="16001"/>
              </a:lnTo>
              <a:lnTo>
                <a:pt x="232917" y="11684"/>
              </a:lnTo>
              <a:lnTo>
                <a:pt x="230377" y="9143"/>
              </a:lnTo>
              <a:close/>
            </a:path>
            <a:path w="276859" h="286385">
              <a:moveTo>
                <a:pt x="270510" y="47625"/>
              </a:moveTo>
              <a:lnTo>
                <a:pt x="240918" y="77215"/>
              </a:lnTo>
              <a:lnTo>
                <a:pt x="253365" y="77215"/>
              </a:lnTo>
              <a:lnTo>
                <a:pt x="276733" y="53848"/>
              </a:lnTo>
              <a:lnTo>
                <a:pt x="270510" y="47625"/>
              </a:lnTo>
              <a:close/>
            </a:path>
            <a:path w="276859" h="286385">
              <a:moveTo>
                <a:pt x="210312" y="0"/>
              </a:moveTo>
              <a:lnTo>
                <a:pt x="202526" y="0"/>
              </a:lnTo>
              <a:lnTo>
                <a:pt x="195795" y="2920"/>
              </a:lnTo>
              <a:lnTo>
                <a:pt x="195961" y="2920"/>
              </a:lnTo>
              <a:lnTo>
                <a:pt x="184277" y="14604"/>
              </a:lnTo>
              <a:lnTo>
                <a:pt x="181229" y="21716"/>
              </a:lnTo>
              <a:lnTo>
                <a:pt x="181229" y="37973"/>
              </a:lnTo>
              <a:lnTo>
                <a:pt x="184404" y="45212"/>
              </a:lnTo>
              <a:lnTo>
                <a:pt x="190500" y="51815"/>
              </a:lnTo>
              <a:lnTo>
                <a:pt x="196723" y="45592"/>
              </a:lnTo>
              <a:lnTo>
                <a:pt x="192151" y="40259"/>
              </a:lnTo>
              <a:lnTo>
                <a:pt x="189737" y="34925"/>
              </a:lnTo>
              <a:lnTo>
                <a:pt x="189737" y="24002"/>
              </a:lnTo>
              <a:lnTo>
                <a:pt x="191770" y="19176"/>
              </a:lnTo>
              <a:lnTo>
                <a:pt x="195961" y="15112"/>
              </a:lnTo>
              <a:lnTo>
                <a:pt x="199771" y="11175"/>
              </a:lnTo>
              <a:lnTo>
                <a:pt x="204470" y="9143"/>
              </a:lnTo>
              <a:lnTo>
                <a:pt x="230377" y="9143"/>
              </a:lnTo>
              <a:lnTo>
                <a:pt x="229235" y="8000"/>
              </a:lnTo>
              <a:lnTo>
                <a:pt x="224028" y="2920"/>
              </a:lnTo>
              <a:lnTo>
                <a:pt x="217805" y="253"/>
              </a:lnTo>
              <a:lnTo>
                <a:pt x="210312" y="0"/>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18</xdr:col>
      <xdr:colOff>161470</xdr:colOff>
      <xdr:row>22</xdr:row>
      <xdr:rowOff>50557</xdr:rowOff>
    </xdr:from>
    <xdr:to>
      <xdr:col>18</xdr:col>
      <xdr:colOff>471985</xdr:colOff>
      <xdr:row>23</xdr:row>
      <xdr:rowOff>186226</xdr:rowOff>
    </xdr:to>
    <xdr:sp macro="" textlink="">
      <xdr:nvSpPr>
        <xdr:cNvPr id="28" name="object 28">
          <a:extLst>
            <a:ext uri="{FF2B5EF4-FFF2-40B4-BE49-F238E27FC236}">
              <a16:creationId xmlns:a16="http://schemas.microsoft.com/office/drawing/2014/main" id="{00000000-0008-0000-0100-00001C000000}"/>
            </a:ext>
          </a:extLst>
        </xdr:cNvPr>
        <xdr:cNvSpPr/>
      </xdr:nvSpPr>
      <xdr:spPr>
        <a:xfrm>
          <a:off x="12277270" y="4241557"/>
          <a:ext cx="310515" cy="326169"/>
        </a:xfrm>
        <a:custGeom>
          <a:avLst/>
          <a:gdLst/>
          <a:ahLst/>
          <a:cxnLst/>
          <a:rect l="l" t="t" r="r" b="b"/>
          <a:pathLst>
            <a:path w="310515" h="328929">
              <a:moveTo>
                <a:pt x="6603" y="238251"/>
              </a:moveTo>
              <a:lnTo>
                <a:pt x="6350" y="238251"/>
              </a:lnTo>
              <a:lnTo>
                <a:pt x="0" y="244601"/>
              </a:lnTo>
              <a:lnTo>
                <a:pt x="48386" y="292988"/>
              </a:lnTo>
              <a:lnTo>
                <a:pt x="51688" y="296799"/>
              </a:lnTo>
              <a:lnTo>
                <a:pt x="52958" y="299338"/>
              </a:lnTo>
              <a:lnTo>
                <a:pt x="54101" y="301751"/>
              </a:lnTo>
              <a:lnTo>
                <a:pt x="54609" y="304291"/>
              </a:lnTo>
              <a:lnTo>
                <a:pt x="54228" y="306832"/>
              </a:lnTo>
              <a:lnTo>
                <a:pt x="32257" y="320294"/>
              </a:lnTo>
              <a:lnTo>
                <a:pt x="33785" y="328168"/>
              </a:lnTo>
              <a:lnTo>
                <a:pt x="33908" y="328802"/>
              </a:lnTo>
              <a:lnTo>
                <a:pt x="39497" y="328168"/>
              </a:lnTo>
              <a:lnTo>
                <a:pt x="44069" y="327151"/>
              </a:lnTo>
              <a:lnTo>
                <a:pt x="63246" y="308356"/>
              </a:lnTo>
              <a:lnTo>
                <a:pt x="64134" y="304419"/>
              </a:lnTo>
              <a:lnTo>
                <a:pt x="63868" y="301751"/>
              </a:lnTo>
              <a:lnTo>
                <a:pt x="63753" y="300609"/>
              </a:lnTo>
              <a:lnTo>
                <a:pt x="62102" y="297052"/>
              </a:lnTo>
              <a:lnTo>
                <a:pt x="60578" y="293370"/>
              </a:lnTo>
              <a:lnTo>
                <a:pt x="56514" y="288163"/>
              </a:lnTo>
              <a:lnTo>
                <a:pt x="49783" y="281559"/>
              </a:lnTo>
              <a:lnTo>
                <a:pt x="6603" y="238251"/>
              </a:lnTo>
              <a:close/>
            </a:path>
            <a:path w="310515" h="328929">
              <a:moveTo>
                <a:pt x="82169" y="206756"/>
              </a:moveTo>
              <a:lnTo>
                <a:pt x="49629" y="233934"/>
              </a:lnTo>
              <a:lnTo>
                <a:pt x="49087" y="239140"/>
              </a:lnTo>
              <a:lnTo>
                <a:pt x="48974" y="240411"/>
              </a:lnTo>
              <a:lnTo>
                <a:pt x="70754" y="273970"/>
              </a:lnTo>
              <a:lnTo>
                <a:pt x="84200" y="276733"/>
              </a:lnTo>
              <a:lnTo>
                <a:pt x="91156" y="276185"/>
              </a:lnTo>
              <a:lnTo>
                <a:pt x="97551" y="274351"/>
              </a:lnTo>
              <a:lnTo>
                <a:pt x="103399" y="271232"/>
              </a:lnTo>
              <a:lnTo>
                <a:pt x="106721" y="268477"/>
              </a:lnTo>
              <a:lnTo>
                <a:pt x="83019" y="268477"/>
              </a:lnTo>
              <a:lnTo>
                <a:pt x="78320" y="267208"/>
              </a:lnTo>
              <a:lnTo>
                <a:pt x="73025" y="265684"/>
              </a:lnTo>
              <a:lnTo>
                <a:pt x="68960" y="263398"/>
              </a:lnTo>
              <a:lnTo>
                <a:pt x="65658" y="259969"/>
              </a:lnTo>
              <a:lnTo>
                <a:pt x="62229" y="256666"/>
              </a:lnTo>
              <a:lnTo>
                <a:pt x="59944" y="252602"/>
              </a:lnTo>
              <a:lnTo>
                <a:pt x="58811" y="248412"/>
              </a:lnTo>
              <a:lnTo>
                <a:pt x="57276" y="243204"/>
              </a:lnTo>
              <a:lnTo>
                <a:pt x="76659" y="214249"/>
              </a:lnTo>
              <a:lnTo>
                <a:pt x="106425" y="214249"/>
              </a:lnTo>
              <a:lnTo>
                <a:pt x="99821" y="207645"/>
              </a:lnTo>
              <a:lnTo>
                <a:pt x="87883" y="207645"/>
              </a:lnTo>
              <a:lnTo>
                <a:pt x="82169" y="206756"/>
              </a:lnTo>
              <a:close/>
            </a:path>
            <a:path w="310515" h="328929">
              <a:moveTo>
                <a:pt x="106425" y="214249"/>
              </a:moveTo>
              <a:lnTo>
                <a:pt x="91567" y="214249"/>
              </a:lnTo>
              <a:lnTo>
                <a:pt x="98044" y="217043"/>
              </a:lnTo>
              <a:lnTo>
                <a:pt x="103504" y="222503"/>
              </a:lnTo>
              <a:lnTo>
                <a:pt x="106325" y="225425"/>
              </a:lnTo>
              <a:lnTo>
                <a:pt x="107136" y="226313"/>
              </a:lnTo>
              <a:lnTo>
                <a:pt x="109474" y="230250"/>
              </a:lnTo>
              <a:lnTo>
                <a:pt x="112013" y="239140"/>
              </a:lnTo>
              <a:lnTo>
                <a:pt x="111978" y="243966"/>
              </a:lnTo>
              <a:lnTo>
                <a:pt x="110885" y="247903"/>
              </a:lnTo>
              <a:lnTo>
                <a:pt x="109474" y="253111"/>
              </a:lnTo>
              <a:lnTo>
                <a:pt x="107060" y="257175"/>
              </a:lnTo>
              <a:lnTo>
                <a:pt x="100456" y="263778"/>
              </a:lnTo>
              <a:lnTo>
                <a:pt x="96520" y="266064"/>
              </a:lnTo>
              <a:lnTo>
                <a:pt x="91821" y="267208"/>
              </a:lnTo>
              <a:lnTo>
                <a:pt x="87249" y="268477"/>
              </a:lnTo>
              <a:lnTo>
                <a:pt x="106721" y="268477"/>
              </a:lnTo>
              <a:lnTo>
                <a:pt x="108711" y="266826"/>
              </a:lnTo>
              <a:lnTo>
                <a:pt x="118937" y="244601"/>
              </a:lnTo>
              <a:lnTo>
                <a:pt x="118931" y="243204"/>
              </a:lnTo>
              <a:lnTo>
                <a:pt x="118761" y="241300"/>
              </a:lnTo>
              <a:lnTo>
                <a:pt x="118682" y="240411"/>
              </a:lnTo>
              <a:lnTo>
                <a:pt x="118570" y="239140"/>
              </a:lnTo>
              <a:lnTo>
                <a:pt x="118490" y="238251"/>
              </a:lnTo>
              <a:lnTo>
                <a:pt x="130428" y="238251"/>
              </a:lnTo>
              <a:lnTo>
                <a:pt x="106425" y="214249"/>
              </a:lnTo>
              <a:close/>
            </a:path>
            <a:path w="310515" h="328929">
              <a:moveTo>
                <a:pt x="130428" y="238251"/>
              </a:moveTo>
              <a:lnTo>
                <a:pt x="118490" y="238251"/>
              </a:lnTo>
              <a:lnTo>
                <a:pt x="126619" y="246507"/>
              </a:lnTo>
              <a:lnTo>
                <a:pt x="132587" y="240411"/>
              </a:lnTo>
              <a:lnTo>
                <a:pt x="130428" y="238251"/>
              </a:lnTo>
              <a:close/>
            </a:path>
            <a:path w="310515" h="328929">
              <a:moveTo>
                <a:pt x="105282" y="172720"/>
              </a:moveTo>
              <a:lnTo>
                <a:pt x="99186" y="178815"/>
              </a:lnTo>
              <a:lnTo>
                <a:pt x="146684" y="226313"/>
              </a:lnTo>
              <a:lnTo>
                <a:pt x="152780" y="220218"/>
              </a:lnTo>
              <a:lnTo>
                <a:pt x="129158" y="196596"/>
              </a:lnTo>
              <a:lnTo>
                <a:pt x="125095" y="191897"/>
              </a:lnTo>
              <a:lnTo>
                <a:pt x="123317" y="188975"/>
              </a:lnTo>
              <a:lnTo>
                <a:pt x="120650" y="184531"/>
              </a:lnTo>
              <a:lnTo>
                <a:pt x="119972" y="181228"/>
              </a:lnTo>
              <a:lnTo>
                <a:pt x="113792" y="181228"/>
              </a:lnTo>
              <a:lnTo>
                <a:pt x="105282" y="172720"/>
              </a:lnTo>
              <a:close/>
            </a:path>
            <a:path w="310515" h="328929">
              <a:moveTo>
                <a:pt x="85089" y="192912"/>
              </a:moveTo>
              <a:lnTo>
                <a:pt x="79121" y="199009"/>
              </a:lnTo>
              <a:lnTo>
                <a:pt x="87883" y="207645"/>
              </a:lnTo>
              <a:lnTo>
                <a:pt x="99821" y="207645"/>
              </a:lnTo>
              <a:lnTo>
                <a:pt x="85089" y="192912"/>
              </a:lnTo>
              <a:close/>
            </a:path>
            <a:path w="310515" h="328929">
              <a:moveTo>
                <a:pt x="157873" y="154686"/>
              </a:moveTo>
              <a:lnTo>
                <a:pt x="140207" y="154686"/>
              </a:lnTo>
              <a:lnTo>
                <a:pt x="143890" y="155701"/>
              </a:lnTo>
              <a:lnTo>
                <a:pt x="147700" y="158114"/>
              </a:lnTo>
              <a:lnTo>
                <a:pt x="149986" y="159512"/>
              </a:lnTo>
              <a:lnTo>
                <a:pt x="153924" y="162940"/>
              </a:lnTo>
              <a:lnTo>
                <a:pt x="181990" y="191008"/>
              </a:lnTo>
              <a:lnTo>
                <a:pt x="188213" y="184912"/>
              </a:lnTo>
              <a:lnTo>
                <a:pt x="163702" y="160400"/>
              </a:lnTo>
              <a:lnTo>
                <a:pt x="157873" y="154686"/>
              </a:lnTo>
              <a:close/>
            </a:path>
            <a:path w="310515" h="328929">
              <a:moveTo>
                <a:pt x="138683" y="146050"/>
              </a:moveTo>
              <a:lnTo>
                <a:pt x="114680" y="165862"/>
              </a:lnTo>
              <a:lnTo>
                <a:pt x="113283" y="170434"/>
              </a:lnTo>
              <a:lnTo>
                <a:pt x="113169" y="172720"/>
              </a:lnTo>
              <a:lnTo>
                <a:pt x="113099" y="174116"/>
              </a:lnTo>
              <a:lnTo>
                <a:pt x="113029" y="175513"/>
              </a:lnTo>
              <a:lnTo>
                <a:pt x="113792" y="181228"/>
              </a:lnTo>
              <a:lnTo>
                <a:pt x="119972" y="181228"/>
              </a:lnTo>
              <a:lnTo>
                <a:pt x="119633" y="179577"/>
              </a:lnTo>
              <a:lnTo>
                <a:pt x="119917" y="175513"/>
              </a:lnTo>
              <a:lnTo>
                <a:pt x="140207" y="154686"/>
              </a:lnTo>
              <a:lnTo>
                <a:pt x="157873" y="154686"/>
              </a:lnTo>
              <a:lnTo>
                <a:pt x="157225" y="154050"/>
              </a:lnTo>
              <a:lnTo>
                <a:pt x="151764" y="149860"/>
              </a:lnTo>
              <a:lnTo>
                <a:pt x="147447" y="148082"/>
              </a:lnTo>
              <a:lnTo>
                <a:pt x="143128" y="146431"/>
              </a:lnTo>
              <a:lnTo>
                <a:pt x="138683" y="146050"/>
              </a:lnTo>
              <a:close/>
            </a:path>
            <a:path w="310515" h="328929">
              <a:moveTo>
                <a:pt x="194945" y="124587"/>
              </a:moveTo>
              <a:lnTo>
                <a:pt x="170942" y="148589"/>
              </a:lnTo>
              <a:lnTo>
                <a:pt x="176402" y="154050"/>
              </a:lnTo>
              <a:lnTo>
                <a:pt x="176149" y="154050"/>
              </a:lnTo>
              <a:lnTo>
                <a:pt x="200278" y="129921"/>
              </a:lnTo>
              <a:lnTo>
                <a:pt x="194945" y="124587"/>
              </a:lnTo>
              <a:close/>
            </a:path>
            <a:path w="310515" h="328929">
              <a:moveTo>
                <a:pt x="219964" y="56641"/>
              </a:moveTo>
              <a:lnTo>
                <a:pt x="208914" y="56641"/>
              </a:lnTo>
              <a:lnTo>
                <a:pt x="213995" y="58674"/>
              </a:lnTo>
              <a:lnTo>
                <a:pt x="220472" y="65150"/>
              </a:lnTo>
              <a:lnTo>
                <a:pt x="222503" y="68579"/>
              </a:lnTo>
              <a:lnTo>
                <a:pt x="223520" y="72771"/>
              </a:lnTo>
              <a:lnTo>
                <a:pt x="224662" y="76835"/>
              </a:lnTo>
              <a:lnTo>
                <a:pt x="225302" y="82803"/>
              </a:lnTo>
              <a:lnTo>
                <a:pt x="225425" y="83947"/>
              </a:lnTo>
              <a:lnTo>
                <a:pt x="225530" y="88264"/>
              </a:lnTo>
              <a:lnTo>
                <a:pt x="225620" y="91948"/>
              </a:lnTo>
              <a:lnTo>
                <a:pt x="225724" y="95503"/>
              </a:lnTo>
              <a:lnTo>
                <a:pt x="227710" y="145414"/>
              </a:lnTo>
              <a:lnTo>
                <a:pt x="247845" y="125222"/>
              </a:lnTo>
              <a:lnTo>
                <a:pt x="235457" y="125222"/>
              </a:lnTo>
              <a:lnTo>
                <a:pt x="234437" y="95503"/>
              </a:lnTo>
              <a:lnTo>
                <a:pt x="234314" y="91948"/>
              </a:lnTo>
              <a:lnTo>
                <a:pt x="234135" y="88264"/>
              </a:lnTo>
              <a:lnTo>
                <a:pt x="234017" y="85851"/>
              </a:lnTo>
              <a:lnTo>
                <a:pt x="233924" y="83947"/>
              </a:lnTo>
              <a:lnTo>
                <a:pt x="233806" y="81534"/>
              </a:lnTo>
              <a:lnTo>
                <a:pt x="232918" y="73787"/>
              </a:lnTo>
              <a:lnTo>
                <a:pt x="231394" y="68834"/>
              </a:lnTo>
              <a:lnTo>
                <a:pt x="229997" y="63881"/>
              </a:lnTo>
              <a:lnTo>
                <a:pt x="227531" y="59689"/>
              </a:lnTo>
              <a:lnTo>
                <a:pt x="226930" y="59054"/>
              </a:lnTo>
              <a:lnTo>
                <a:pt x="224957" y="57150"/>
              </a:lnTo>
              <a:lnTo>
                <a:pt x="199136" y="57150"/>
              </a:lnTo>
              <a:lnTo>
                <a:pt x="219964" y="56641"/>
              </a:lnTo>
              <a:close/>
            </a:path>
            <a:path w="310515" h="328929">
              <a:moveTo>
                <a:pt x="265175" y="95503"/>
              </a:moveTo>
              <a:lnTo>
                <a:pt x="235457" y="125222"/>
              </a:lnTo>
              <a:lnTo>
                <a:pt x="247845" y="125222"/>
              </a:lnTo>
              <a:lnTo>
                <a:pt x="271272" y="101726"/>
              </a:lnTo>
              <a:lnTo>
                <a:pt x="265175" y="95503"/>
              </a:lnTo>
              <a:close/>
            </a:path>
            <a:path w="310515" h="328929">
              <a:moveTo>
                <a:pt x="197357" y="47751"/>
              </a:moveTo>
              <a:lnTo>
                <a:pt x="190334" y="50800"/>
              </a:lnTo>
              <a:lnTo>
                <a:pt x="190502" y="50800"/>
              </a:lnTo>
              <a:lnTo>
                <a:pt x="184784" y="56641"/>
              </a:lnTo>
              <a:lnTo>
                <a:pt x="178815" y="62611"/>
              </a:lnTo>
              <a:lnTo>
                <a:pt x="175768" y="69596"/>
              </a:lnTo>
              <a:lnTo>
                <a:pt x="175895" y="85851"/>
              </a:lnTo>
              <a:lnTo>
                <a:pt x="178943" y="93218"/>
              </a:lnTo>
              <a:lnTo>
                <a:pt x="185038" y="99695"/>
              </a:lnTo>
              <a:lnTo>
                <a:pt x="191261" y="93472"/>
              </a:lnTo>
              <a:lnTo>
                <a:pt x="186689" y="88264"/>
              </a:lnTo>
              <a:lnTo>
                <a:pt x="184403" y="82803"/>
              </a:lnTo>
              <a:lnTo>
                <a:pt x="199008" y="57150"/>
              </a:lnTo>
              <a:lnTo>
                <a:pt x="210184" y="57150"/>
              </a:lnTo>
              <a:lnTo>
                <a:pt x="208914" y="56641"/>
              </a:lnTo>
              <a:lnTo>
                <a:pt x="224431" y="56641"/>
              </a:lnTo>
              <a:lnTo>
                <a:pt x="223774" y="56007"/>
              </a:lnTo>
              <a:lnTo>
                <a:pt x="218694" y="50800"/>
              </a:lnTo>
              <a:lnTo>
                <a:pt x="212344" y="48133"/>
              </a:lnTo>
              <a:lnTo>
                <a:pt x="208597" y="48133"/>
              </a:lnTo>
              <a:lnTo>
                <a:pt x="197357" y="47751"/>
              </a:lnTo>
              <a:close/>
            </a:path>
            <a:path w="310515" h="328929">
              <a:moveTo>
                <a:pt x="266826" y="71882"/>
              </a:moveTo>
              <a:lnTo>
                <a:pt x="260603" y="78104"/>
              </a:lnTo>
              <a:lnTo>
                <a:pt x="267843" y="83185"/>
              </a:lnTo>
              <a:lnTo>
                <a:pt x="274954" y="85471"/>
              </a:lnTo>
              <a:lnTo>
                <a:pt x="288671" y="84454"/>
              </a:lnTo>
              <a:lnTo>
                <a:pt x="294634" y="81534"/>
              </a:lnTo>
              <a:lnTo>
                <a:pt x="294767" y="81534"/>
              </a:lnTo>
              <a:lnTo>
                <a:pt x="299974" y="76326"/>
              </a:lnTo>
              <a:lnTo>
                <a:pt x="276732" y="76326"/>
              </a:lnTo>
              <a:lnTo>
                <a:pt x="272160" y="74929"/>
              </a:lnTo>
              <a:lnTo>
                <a:pt x="266826" y="71882"/>
              </a:lnTo>
              <a:close/>
            </a:path>
            <a:path w="310515" h="328929">
              <a:moveTo>
                <a:pt x="302640" y="34289"/>
              </a:moveTo>
              <a:lnTo>
                <a:pt x="282955" y="34289"/>
              </a:lnTo>
              <a:lnTo>
                <a:pt x="286638" y="35178"/>
              </a:lnTo>
              <a:lnTo>
                <a:pt x="290195" y="35940"/>
              </a:lnTo>
              <a:lnTo>
                <a:pt x="293243" y="37591"/>
              </a:lnTo>
              <a:lnTo>
                <a:pt x="295782" y="40004"/>
              </a:lnTo>
              <a:lnTo>
                <a:pt x="299465" y="43814"/>
              </a:lnTo>
              <a:lnTo>
                <a:pt x="301371" y="48513"/>
              </a:lnTo>
              <a:lnTo>
                <a:pt x="301371" y="59689"/>
              </a:lnTo>
              <a:lnTo>
                <a:pt x="298957" y="64897"/>
              </a:lnTo>
              <a:lnTo>
                <a:pt x="294135" y="69596"/>
              </a:lnTo>
              <a:lnTo>
                <a:pt x="290071" y="73787"/>
              </a:lnTo>
              <a:lnTo>
                <a:pt x="289926" y="73787"/>
              </a:lnTo>
              <a:lnTo>
                <a:pt x="285623" y="75819"/>
              </a:lnTo>
              <a:lnTo>
                <a:pt x="280670" y="76073"/>
              </a:lnTo>
              <a:lnTo>
                <a:pt x="276732" y="76326"/>
              </a:lnTo>
              <a:lnTo>
                <a:pt x="299974" y="76326"/>
              </a:lnTo>
              <a:lnTo>
                <a:pt x="304419" y="71882"/>
              </a:lnTo>
              <a:lnTo>
                <a:pt x="304546" y="71754"/>
              </a:lnTo>
              <a:lnTo>
                <a:pt x="307339" y="67183"/>
              </a:lnTo>
              <a:lnTo>
                <a:pt x="308863" y="61975"/>
              </a:lnTo>
              <a:lnTo>
                <a:pt x="310464" y="56641"/>
              </a:lnTo>
              <a:lnTo>
                <a:pt x="310514" y="51688"/>
              </a:lnTo>
              <a:lnTo>
                <a:pt x="307721" y="41275"/>
              </a:lnTo>
              <a:lnTo>
                <a:pt x="305180" y="36829"/>
              </a:lnTo>
              <a:lnTo>
                <a:pt x="302640" y="34289"/>
              </a:lnTo>
              <a:close/>
            </a:path>
            <a:path w="310515" h="328929">
              <a:moveTo>
                <a:pt x="224431" y="56641"/>
              </a:moveTo>
              <a:lnTo>
                <a:pt x="219964" y="56641"/>
              </a:lnTo>
              <a:lnTo>
                <a:pt x="199136" y="57150"/>
              </a:lnTo>
              <a:lnTo>
                <a:pt x="224957" y="57150"/>
              </a:lnTo>
              <a:lnTo>
                <a:pt x="224431" y="56641"/>
              </a:lnTo>
              <a:close/>
            </a:path>
            <a:path w="310515" h="328929">
              <a:moveTo>
                <a:pt x="270452" y="9144"/>
              </a:moveTo>
              <a:lnTo>
                <a:pt x="254888" y="9144"/>
              </a:lnTo>
              <a:lnTo>
                <a:pt x="258445" y="10413"/>
              </a:lnTo>
              <a:lnTo>
                <a:pt x="263144" y="15112"/>
              </a:lnTo>
              <a:lnTo>
                <a:pt x="264310" y="17525"/>
              </a:lnTo>
              <a:lnTo>
                <a:pt x="265302" y="22860"/>
              </a:lnTo>
              <a:lnTo>
                <a:pt x="264969" y="25526"/>
              </a:lnTo>
              <a:lnTo>
                <a:pt x="264922" y="25908"/>
              </a:lnTo>
              <a:lnTo>
                <a:pt x="262127" y="32765"/>
              </a:lnTo>
              <a:lnTo>
                <a:pt x="259969" y="35940"/>
              </a:lnTo>
              <a:lnTo>
                <a:pt x="257048" y="38988"/>
              </a:lnTo>
              <a:lnTo>
                <a:pt x="262889" y="44831"/>
              </a:lnTo>
              <a:lnTo>
                <a:pt x="268097" y="40132"/>
              </a:lnTo>
              <a:lnTo>
                <a:pt x="272542" y="37084"/>
              </a:lnTo>
              <a:lnTo>
                <a:pt x="279400" y="34544"/>
              </a:lnTo>
              <a:lnTo>
                <a:pt x="282955" y="34289"/>
              </a:lnTo>
              <a:lnTo>
                <a:pt x="302640" y="34289"/>
              </a:lnTo>
              <a:lnTo>
                <a:pt x="297306" y="28956"/>
              </a:lnTo>
              <a:lnTo>
                <a:pt x="295388" y="28066"/>
              </a:lnTo>
              <a:lnTo>
                <a:pt x="272796" y="28066"/>
              </a:lnTo>
              <a:lnTo>
                <a:pt x="275081" y="19303"/>
              </a:lnTo>
              <a:lnTo>
                <a:pt x="273430" y="12191"/>
              </a:lnTo>
              <a:lnTo>
                <a:pt x="270452" y="9144"/>
              </a:lnTo>
              <a:close/>
            </a:path>
            <a:path w="310515" h="328929">
              <a:moveTo>
                <a:pt x="253761" y="0"/>
              </a:moveTo>
              <a:lnTo>
                <a:pt x="248920" y="0"/>
              </a:lnTo>
              <a:lnTo>
                <a:pt x="240029" y="2794"/>
              </a:lnTo>
              <a:lnTo>
                <a:pt x="236220" y="5207"/>
              </a:lnTo>
              <a:lnTo>
                <a:pt x="232918" y="8509"/>
              </a:lnTo>
              <a:lnTo>
                <a:pt x="228219" y="13081"/>
              </a:lnTo>
              <a:lnTo>
                <a:pt x="225678" y="18541"/>
              </a:lnTo>
              <a:lnTo>
                <a:pt x="224662" y="30987"/>
              </a:lnTo>
              <a:lnTo>
                <a:pt x="226298" y="36829"/>
              </a:lnTo>
              <a:lnTo>
                <a:pt x="226369" y="37084"/>
              </a:lnTo>
              <a:lnTo>
                <a:pt x="226440" y="37337"/>
              </a:lnTo>
              <a:lnTo>
                <a:pt x="230504" y="43814"/>
              </a:lnTo>
              <a:lnTo>
                <a:pt x="237108" y="37337"/>
              </a:lnTo>
              <a:lnTo>
                <a:pt x="234823" y="32131"/>
              </a:lnTo>
              <a:lnTo>
                <a:pt x="233866" y="28066"/>
              </a:lnTo>
              <a:lnTo>
                <a:pt x="233806" y="27812"/>
              </a:lnTo>
              <a:lnTo>
                <a:pt x="234314" y="24257"/>
              </a:lnTo>
              <a:lnTo>
                <a:pt x="234696" y="20700"/>
              </a:lnTo>
              <a:lnTo>
                <a:pt x="236347" y="17525"/>
              </a:lnTo>
              <a:lnTo>
                <a:pt x="242570" y="11302"/>
              </a:lnTo>
              <a:lnTo>
                <a:pt x="246379" y="9525"/>
              </a:lnTo>
              <a:lnTo>
                <a:pt x="248412" y="9525"/>
              </a:lnTo>
              <a:lnTo>
                <a:pt x="254888" y="9144"/>
              </a:lnTo>
              <a:lnTo>
                <a:pt x="270452" y="9144"/>
              </a:lnTo>
              <a:lnTo>
                <a:pt x="267970" y="6603"/>
              </a:lnTo>
              <a:lnTo>
                <a:pt x="265049" y="3810"/>
              </a:lnTo>
              <a:lnTo>
                <a:pt x="261620" y="1904"/>
              </a:lnTo>
              <a:lnTo>
                <a:pt x="253761" y="0"/>
              </a:lnTo>
              <a:close/>
            </a:path>
            <a:path w="310515" h="328929">
              <a:moveTo>
                <a:pt x="281558" y="25526"/>
              </a:moveTo>
              <a:lnTo>
                <a:pt x="277113" y="26162"/>
              </a:lnTo>
              <a:lnTo>
                <a:pt x="272796" y="28066"/>
              </a:lnTo>
              <a:lnTo>
                <a:pt x="295388" y="28066"/>
              </a:lnTo>
              <a:lnTo>
                <a:pt x="292100" y="26543"/>
              </a:lnTo>
              <a:lnTo>
                <a:pt x="285876" y="25908"/>
              </a:lnTo>
              <a:lnTo>
                <a:pt x="281558" y="25526"/>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18</xdr:col>
      <xdr:colOff>568125</xdr:colOff>
      <xdr:row>22</xdr:row>
      <xdr:rowOff>51191</xdr:rowOff>
    </xdr:from>
    <xdr:to>
      <xdr:col>19</xdr:col>
      <xdr:colOff>158412</xdr:colOff>
      <xdr:row>23</xdr:row>
      <xdr:rowOff>143045</xdr:rowOff>
    </xdr:to>
    <xdr:sp macro="" textlink="">
      <xdr:nvSpPr>
        <xdr:cNvPr id="29" name="object 29">
          <a:extLst>
            <a:ext uri="{FF2B5EF4-FFF2-40B4-BE49-F238E27FC236}">
              <a16:creationId xmlns:a16="http://schemas.microsoft.com/office/drawing/2014/main" id="{00000000-0008-0000-0100-00001D000000}"/>
            </a:ext>
          </a:extLst>
        </xdr:cNvPr>
        <xdr:cNvSpPr/>
      </xdr:nvSpPr>
      <xdr:spPr>
        <a:xfrm>
          <a:off x="12683925" y="4242191"/>
          <a:ext cx="263387" cy="282354"/>
        </a:xfrm>
        <a:custGeom>
          <a:avLst/>
          <a:gdLst/>
          <a:ahLst/>
          <a:cxnLst/>
          <a:rect l="l" t="t" r="r" b="b"/>
          <a:pathLst>
            <a:path w="266700" h="285114">
              <a:moveTo>
                <a:pt x="6476" y="193928"/>
              </a:moveTo>
              <a:lnTo>
                <a:pt x="0" y="200405"/>
              </a:lnTo>
              <a:lnTo>
                <a:pt x="48386" y="248792"/>
              </a:lnTo>
              <a:lnTo>
                <a:pt x="51755" y="252856"/>
              </a:lnTo>
              <a:lnTo>
                <a:pt x="54228" y="257555"/>
              </a:lnTo>
              <a:lnTo>
                <a:pt x="54591" y="260223"/>
              </a:lnTo>
              <a:lnTo>
                <a:pt x="53848" y="265302"/>
              </a:lnTo>
              <a:lnTo>
                <a:pt x="52704" y="267462"/>
              </a:lnTo>
              <a:lnTo>
                <a:pt x="49402" y="270763"/>
              </a:lnTo>
              <a:lnTo>
                <a:pt x="47751" y="271906"/>
              </a:lnTo>
              <a:lnTo>
                <a:pt x="45593" y="272668"/>
              </a:lnTo>
              <a:lnTo>
                <a:pt x="42418" y="273938"/>
              </a:lnTo>
              <a:lnTo>
                <a:pt x="37973" y="275081"/>
              </a:lnTo>
              <a:lnTo>
                <a:pt x="32257" y="276098"/>
              </a:lnTo>
              <a:lnTo>
                <a:pt x="33810" y="284099"/>
              </a:lnTo>
              <a:lnTo>
                <a:pt x="33908" y="284606"/>
              </a:lnTo>
              <a:lnTo>
                <a:pt x="39497" y="284099"/>
              </a:lnTo>
              <a:lnTo>
                <a:pt x="44069" y="282955"/>
              </a:lnTo>
              <a:lnTo>
                <a:pt x="64134" y="260223"/>
              </a:lnTo>
              <a:lnTo>
                <a:pt x="63868" y="257555"/>
              </a:lnTo>
              <a:lnTo>
                <a:pt x="49783" y="237362"/>
              </a:lnTo>
              <a:lnTo>
                <a:pt x="6476" y="193928"/>
              </a:lnTo>
              <a:close/>
            </a:path>
            <a:path w="266700" h="285114">
              <a:moveTo>
                <a:pt x="43306" y="190880"/>
              </a:moveTo>
              <a:lnTo>
                <a:pt x="43050" y="190880"/>
              </a:lnTo>
              <a:lnTo>
                <a:pt x="36956" y="196850"/>
              </a:lnTo>
              <a:lnTo>
                <a:pt x="66675" y="226440"/>
              </a:lnTo>
              <a:lnTo>
                <a:pt x="87249" y="234823"/>
              </a:lnTo>
              <a:lnTo>
                <a:pt x="97154" y="232283"/>
              </a:lnTo>
              <a:lnTo>
                <a:pt x="101980" y="229362"/>
              </a:lnTo>
              <a:lnTo>
                <a:pt x="105409" y="225933"/>
              </a:lnTo>
              <a:lnTo>
                <a:pt x="85090" y="225933"/>
              </a:lnTo>
              <a:lnTo>
                <a:pt x="81152" y="225298"/>
              </a:lnTo>
              <a:lnTo>
                <a:pt x="77343" y="223265"/>
              </a:lnTo>
              <a:lnTo>
                <a:pt x="74802" y="221741"/>
              </a:lnTo>
              <a:lnTo>
                <a:pt x="70739" y="218312"/>
              </a:lnTo>
              <a:lnTo>
                <a:pt x="65277" y="212978"/>
              </a:lnTo>
              <a:lnTo>
                <a:pt x="43306" y="190880"/>
              </a:lnTo>
              <a:close/>
            </a:path>
            <a:path w="266700" h="285114">
              <a:moveTo>
                <a:pt x="78613" y="155321"/>
              </a:moveTo>
              <a:lnTo>
                <a:pt x="72390" y="161543"/>
              </a:lnTo>
              <a:lnTo>
                <a:pt x="94488" y="183768"/>
              </a:lnTo>
              <a:lnTo>
                <a:pt x="100456" y="189611"/>
              </a:lnTo>
              <a:lnTo>
                <a:pt x="104076" y="193928"/>
              </a:lnTo>
              <a:lnTo>
                <a:pt x="107060" y="199898"/>
              </a:lnTo>
              <a:lnTo>
                <a:pt x="107569" y="203708"/>
              </a:lnTo>
              <a:lnTo>
                <a:pt x="106045" y="211709"/>
              </a:lnTo>
              <a:lnTo>
                <a:pt x="104013" y="215391"/>
              </a:lnTo>
              <a:lnTo>
                <a:pt x="97154" y="222250"/>
              </a:lnTo>
              <a:lnTo>
                <a:pt x="93472" y="224409"/>
              </a:lnTo>
              <a:lnTo>
                <a:pt x="85090" y="225933"/>
              </a:lnTo>
              <a:lnTo>
                <a:pt x="105409" y="225933"/>
              </a:lnTo>
              <a:lnTo>
                <a:pt x="111251" y="220090"/>
              </a:lnTo>
              <a:lnTo>
                <a:pt x="114173" y="215391"/>
              </a:lnTo>
              <a:lnTo>
                <a:pt x="116458" y="205486"/>
              </a:lnTo>
              <a:lnTo>
                <a:pt x="116204" y="200533"/>
              </a:lnTo>
              <a:lnTo>
                <a:pt x="112649" y="190880"/>
              </a:lnTo>
              <a:lnTo>
                <a:pt x="108457" y="185165"/>
              </a:lnTo>
              <a:lnTo>
                <a:pt x="78613" y="155321"/>
              </a:lnTo>
              <a:close/>
            </a:path>
            <a:path w="266700" h="285114">
              <a:moveTo>
                <a:pt x="79628" y="117601"/>
              </a:moveTo>
              <a:lnTo>
                <a:pt x="73532" y="123698"/>
              </a:lnTo>
              <a:lnTo>
                <a:pt x="139319" y="189611"/>
              </a:lnTo>
              <a:lnTo>
                <a:pt x="145415" y="183387"/>
              </a:lnTo>
              <a:lnTo>
                <a:pt x="79628" y="117601"/>
              </a:lnTo>
              <a:close/>
            </a:path>
            <a:path w="266700" h="285114">
              <a:moveTo>
                <a:pt x="151765" y="123443"/>
              </a:moveTo>
              <a:lnTo>
                <a:pt x="127761" y="147447"/>
              </a:lnTo>
              <a:lnTo>
                <a:pt x="133096" y="152780"/>
              </a:lnTo>
              <a:lnTo>
                <a:pt x="157099" y="128777"/>
              </a:lnTo>
              <a:lnTo>
                <a:pt x="151765" y="123443"/>
              </a:lnTo>
              <a:close/>
            </a:path>
            <a:path w="266700" h="285114">
              <a:moveTo>
                <a:pt x="180848" y="57150"/>
              </a:moveTo>
              <a:lnTo>
                <a:pt x="166115" y="57150"/>
              </a:lnTo>
              <a:lnTo>
                <a:pt x="169925" y="58674"/>
              </a:lnTo>
              <a:lnTo>
                <a:pt x="173481" y="62356"/>
              </a:lnTo>
              <a:lnTo>
                <a:pt x="180340" y="76326"/>
              </a:lnTo>
              <a:lnTo>
                <a:pt x="180467" y="76835"/>
              </a:lnTo>
              <a:lnTo>
                <a:pt x="181106" y="82803"/>
              </a:lnTo>
              <a:lnTo>
                <a:pt x="181228" y="83947"/>
              </a:lnTo>
              <a:lnTo>
                <a:pt x="183515" y="145414"/>
              </a:lnTo>
              <a:lnTo>
                <a:pt x="203707" y="125222"/>
              </a:lnTo>
              <a:lnTo>
                <a:pt x="191389" y="125222"/>
              </a:lnTo>
              <a:lnTo>
                <a:pt x="189981" y="88137"/>
              </a:lnTo>
              <a:lnTo>
                <a:pt x="189884" y="85471"/>
              </a:lnTo>
              <a:lnTo>
                <a:pt x="189788" y="82803"/>
              </a:lnTo>
              <a:lnTo>
                <a:pt x="189738" y="81406"/>
              </a:lnTo>
              <a:lnTo>
                <a:pt x="182752" y="59054"/>
              </a:lnTo>
              <a:lnTo>
                <a:pt x="180848" y="57150"/>
              </a:lnTo>
              <a:close/>
            </a:path>
            <a:path w="266700" h="285114">
              <a:moveTo>
                <a:pt x="220979" y="95503"/>
              </a:moveTo>
              <a:lnTo>
                <a:pt x="191389" y="125222"/>
              </a:lnTo>
              <a:lnTo>
                <a:pt x="203707" y="125222"/>
              </a:lnTo>
              <a:lnTo>
                <a:pt x="227202" y="101726"/>
              </a:lnTo>
              <a:lnTo>
                <a:pt x="220979" y="95503"/>
              </a:lnTo>
              <a:close/>
            </a:path>
            <a:path w="266700" h="285114">
              <a:moveTo>
                <a:pt x="153161" y="47751"/>
              </a:moveTo>
              <a:lnTo>
                <a:pt x="146270" y="50800"/>
              </a:lnTo>
              <a:lnTo>
                <a:pt x="146430" y="50800"/>
              </a:lnTo>
              <a:lnTo>
                <a:pt x="134620" y="62611"/>
              </a:lnTo>
              <a:lnTo>
                <a:pt x="131699" y="69596"/>
              </a:lnTo>
              <a:lnTo>
                <a:pt x="131699" y="85851"/>
              </a:lnTo>
              <a:lnTo>
                <a:pt x="134747" y="93217"/>
              </a:lnTo>
              <a:lnTo>
                <a:pt x="140970" y="99694"/>
              </a:lnTo>
              <a:lnTo>
                <a:pt x="147066" y="93472"/>
              </a:lnTo>
              <a:lnTo>
                <a:pt x="142494" y="88137"/>
              </a:lnTo>
              <a:lnTo>
                <a:pt x="140207" y="82803"/>
              </a:lnTo>
              <a:lnTo>
                <a:pt x="140207" y="71881"/>
              </a:lnTo>
              <a:lnTo>
                <a:pt x="142240" y="67055"/>
              </a:lnTo>
              <a:lnTo>
                <a:pt x="150241" y="59054"/>
              </a:lnTo>
              <a:lnTo>
                <a:pt x="154813" y="57150"/>
              </a:lnTo>
              <a:lnTo>
                <a:pt x="180848" y="57150"/>
              </a:lnTo>
              <a:lnTo>
                <a:pt x="174498" y="50800"/>
              </a:lnTo>
              <a:lnTo>
                <a:pt x="168148" y="48133"/>
              </a:lnTo>
              <a:lnTo>
                <a:pt x="160654" y="48005"/>
              </a:lnTo>
              <a:lnTo>
                <a:pt x="153161" y="47751"/>
              </a:lnTo>
              <a:close/>
            </a:path>
            <a:path w="266700" h="285114">
              <a:moveTo>
                <a:pt x="222630" y="71881"/>
              </a:moveTo>
              <a:lnTo>
                <a:pt x="216407" y="78104"/>
              </a:lnTo>
              <a:lnTo>
                <a:pt x="223647" y="83185"/>
              </a:lnTo>
              <a:lnTo>
                <a:pt x="230758" y="85471"/>
              </a:lnTo>
              <a:lnTo>
                <a:pt x="244601" y="84454"/>
              </a:lnTo>
              <a:lnTo>
                <a:pt x="250825" y="81406"/>
              </a:lnTo>
              <a:lnTo>
                <a:pt x="255789" y="76326"/>
              </a:lnTo>
              <a:lnTo>
                <a:pt x="232536" y="76326"/>
              </a:lnTo>
              <a:lnTo>
                <a:pt x="227965" y="74929"/>
              </a:lnTo>
              <a:lnTo>
                <a:pt x="222630" y="71881"/>
              </a:lnTo>
              <a:close/>
            </a:path>
            <a:path w="266700" h="285114">
              <a:moveTo>
                <a:pt x="258532" y="34289"/>
              </a:moveTo>
              <a:lnTo>
                <a:pt x="238886" y="34289"/>
              </a:lnTo>
              <a:lnTo>
                <a:pt x="242443" y="35051"/>
              </a:lnTo>
              <a:lnTo>
                <a:pt x="245999" y="35940"/>
              </a:lnTo>
              <a:lnTo>
                <a:pt x="249047" y="37464"/>
              </a:lnTo>
              <a:lnTo>
                <a:pt x="255397" y="43814"/>
              </a:lnTo>
              <a:lnTo>
                <a:pt x="257175" y="48513"/>
              </a:lnTo>
              <a:lnTo>
                <a:pt x="257175" y="59689"/>
              </a:lnTo>
              <a:lnTo>
                <a:pt x="254761" y="64897"/>
              </a:lnTo>
              <a:lnTo>
                <a:pt x="245872" y="73787"/>
              </a:lnTo>
              <a:lnTo>
                <a:pt x="245730" y="73787"/>
              </a:lnTo>
              <a:lnTo>
                <a:pt x="241426" y="75818"/>
              </a:lnTo>
              <a:lnTo>
                <a:pt x="236474" y="76073"/>
              </a:lnTo>
              <a:lnTo>
                <a:pt x="232536" y="76326"/>
              </a:lnTo>
              <a:lnTo>
                <a:pt x="255789" y="76326"/>
              </a:lnTo>
              <a:lnTo>
                <a:pt x="266319" y="51688"/>
              </a:lnTo>
              <a:lnTo>
                <a:pt x="263525" y="41275"/>
              </a:lnTo>
              <a:lnTo>
                <a:pt x="260984" y="36829"/>
              </a:lnTo>
              <a:lnTo>
                <a:pt x="258532" y="34289"/>
              </a:lnTo>
              <a:close/>
            </a:path>
            <a:path w="266700" h="285114">
              <a:moveTo>
                <a:pt x="226313" y="9143"/>
              </a:moveTo>
              <a:lnTo>
                <a:pt x="210693" y="9143"/>
              </a:lnTo>
              <a:lnTo>
                <a:pt x="214249" y="10413"/>
              </a:lnTo>
              <a:lnTo>
                <a:pt x="218948" y="15112"/>
              </a:lnTo>
              <a:lnTo>
                <a:pt x="220114" y="17525"/>
              </a:lnTo>
              <a:lnTo>
                <a:pt x="221106" y="22860"/>
              </a:lnTo>
              <a:lnTo>
                <a:pt x="220773" y="25526"/>
              </a:lnTo>
              <a:lnTo>
                <a:pt x="220725" y="25908"/>
              </a:lnTo>
              <a:lnTo>
                <a:pt x="217931" y="32765"/>
              </a:lnTo>
              <a:lnTo>
                <a:pt x="215773" y="35940"/>
              </a:lnTo>
              <a:lnTo>
                <a:pt x="212851" y="38988"/>
              </a:lnTo>
              <a:lnTo>
                <a:pt x="218694" y="44830"/>
              </a:lnTo>
              <a:lnTo>
                <a:pt x="238886" y="34289"/>
              </a:lnTo>
              <a:lnTo>
                <a:pt x="258532" y="34289"/>
              </a:lnTo>
              <a:lnTo>
                <a:pt x="257428" y="33147"/>
              </a:lnTo>
              <a:lnTo>
                <a:pt x="253238" y="28955"/>
              </a:lnTo>
              <a:lnTo>
                <a:pt x="251272" y="28066"/>
              </a:lnTo>
              <a:lnTo>
                <a:pt x="228600" y="28066"/>
              </a:lnTo>
              <a:lnTo>
                <a:pt x="230885" y="19303"/>
              </a:lnTo>
              <a:lnTo>
                <a:pt x="229361" y="12191"/>
              </a:lnTo>
              <a:lnTo>
                <a:pt x="226313" y="9143"/>
              </a:lnTo>
              <a:close/>
            </a:path>
            <a:path w="266700" h="285114">
              <a:moveTo>
                <a:pt x="209565" y="0"/>
              </a:moveTo>
              <a:lnTo>
                <a:pt x="204724" y="0"/>
              </a:lnTo>
              <a:lnTo>
                <a:pt x="195960" y="2793"/>
              </a:lnTo>
              <a:lnTo>
                <a:pt x="192024" y="5206"/>
              </a:lnTo>
              <a:lnTo>
                <a:pt x="184150" y="13080"/>
              </a:lnTo>
              <a:lnTo>
                <a:pt x="181482" y="18541"/>
              </a:lnTo>
              <a:lnTo>
                <a:pt x="180467" y="30987"/>
              </a:lnTo>
              <a:lnTo>
                <a:pt x="182102" y="36829"/>
              </a:lnTo>
              <a:lnTo>
                <a:pt x="182173" y="37084"/>
              </a:lnTo>
              <a:lnTo>
                <a:pt x="182327" y="37464"/>
              </a:lnTo>
              <a:lnTo>
                <a:pt x="186435" y="43814"/>
              </a:lnTo>
              <a:lnTo>
                <a:pt x="192786" y="37464"/>
              </a:lnTo>
              <a:lnTo>
                <a:pt x="192968" y="37464"/>
              </a:lnTo>
              <a:lnTo>
                <a:pt x="190626" y="32130"/>
              </a:lnTo>
              <a:lnTo>
                <a:pt x="189670" y="28066"/>
              </a:lnTo>
              <a:lnTo>
                <a:pt x="189610" y="27812"/>
              </a:lnTo>
              <a:lnTo>
                <a:pt x="190626" y="20700"/>
              </a:lnTo>
              <a:lnTo>
                <a:pt x="192150" y="17525"/>
              </a:lnTo>
              <a:lnTo>
                <a:pt x="198374" y="11302"/>
              </a:lnTo>
              <a:lnTo>
                <a:pt x="202183" y="9525"/>
              </a:lnTo>
              <a:lnTo>
                <a:pt x="204406" y="9525"/>
              </a:lnTo>
              <a:lnTo>
                <a:pt x="210693" y="9143"/>
              </a:lnTo>
              <a:lnTo>
                <a:pt x="226313" y="9143"/>
              </a:lnTo>
              <a:lnTo>
                <a:pt x="220979" y="3810"/>
              </a:lnTo>
              <a:lnTo>
                <a:pt x="217424" y="1904"/>
              </a:lnTo>
              <a:lnTo>
                <a:pt x="209565" y="0"/>
              </a:lnTo>
              <a:close/>
            </a:path>
            <a:path w="266700" h="285114">
              <a:moveTo>
                <a:pt x="237363" y="25526"/>
              </a:moveTo>
              <a:lnTo>
                <a:pt x="233045" y="26162"/>
              </a:lnTo>
              <a:lnTo>
                <a:pt x="228600" y="28066"/>
              </a:lnTo>
              <a:lnTo>
                <a:pt x="251272" y="28066"/>
              </a:lnTo>
              <a:lnTo>
                <a:pt x="247903" y="26542"/>
              </a:lnTo>
              <a:lnTo>
                <a:pt x="241807" y="25908"/>
              </a:lnTo>
              <a:lnTo>
                <a:pt x="237363" y="25526"/>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19</xdr:col>
      <xdr:colOff>217340</xdr:colOff>
      <xdr:row>22</xdr:row>
      <xdr:rowOff>43826</xdr:rowOff>
    </xdr:from>
    <xdr:to>
      <xdr:col>19</xdr:col>
      <xdr:colOff>531665</xdr:colOff>
      <xdr:row>23</xdr:row>
      <xdr:rowOff>186480</xdr:rowOff>
    </xdr:to>
    <xdr:sp macro="" textlink="">
      <xdr:nvSpPr>
        <xdr:cNvPr id="30" name="object 30">
          <a:extLst>
            <a:ext uri="{FF2B5EF4-FFF2-40B4-BE49-F238E27FC236}">
              <a16:creationId xmlns:a16="http://schemas.microsoft.com/office/drawing/2014/main" id="{00000000-0008-0000-0100-00001E000000}"/>
            </a:ext>
          </a:extLst>
        </xdr:cNvPr>
        <xdr:cNvSpPr/>
      </xdr:nvSpPr>
      <xdr:spPr>
        <a:xfrm>
          <a:off x="13006240" y="4234826"/>
          <a:ext cx="314325" cy="333154"/>
        </a:xfrm>
        <a:custGeom>
          <a:avLst/>
          <a:gdLst/>
          <a:ahLst/>
          <a:cxnLst/>
          <a:rect l="l" t="t" r="r" b="b"/>
          <a:pathLst>
            <a:path w="314325" h="335914">
              <a:moveTo>
                <a:pt x="6476" y="244982"/>
              </a:moveTo>
              <a:lnTo>
                <a:pt x="6225" y="244982"/>
              </a:lnTo>
              <a:lnTo>
                <a:pt x="0" y="251332"/>
              </a:lnTo>
              <a:lnTo>
                <a:pt x="48387" y="299719"/>
              </a:lnTo>
              <a:lnTo>
                <a:pt x="51689" y="303529"/>
              </a:lnTo>
              <a:lnTo>
                <a:pt x="52831" y="306069"/>
              </a:lnTo>
              <a:lnTo>
                <a:pt x="54101" y="308482"/>
              </a:lnTo>
              <a:lnTo>
                <a:pt x="54482" y="311022"/>
              </a:lnTo>
              <a:lnTo>
                <a:pt x="32257" y="327025"/>
              </a:lnTo>
              <a:lnTo>
                <a:pt x="33785" y="334899"/>
              </a:lnTo>
              <a:lnTo>
                <a:pt x="33908" y="335533"/>
              </a:lnTo>
              <a:lnTo>
                <a:pt x="39497" y="334899"/>
              </a:lnTo>
              <a:lnTo>
                <a:pt x="44069" y="333882"/>
              </a:lnTo>
              <a:lnTo>
                <a:pt x="64007" y="311150"/>
              </a:lnTo>
              <a:lnTo>
                <a:pt x="63830" y="308482"/>
              </a:lnTo>
              <a:lnTo>
                <a:pt x="63753" y="307339"/>
              </a:lnTo>
              <a:lnTo>
                <a:pt x="62102" y="303783"/>
              </a:lnTo>
              <a:lnTo>
                <a:pt x="60578" y="300100"/>
              </a:lnTo>
              <a:lnTo>
                <a:pt x="56388" y="294893"/>
              </a:lnTo>
              <a:lnTo>
                <a:pt x="6476" y="244982"/>
              </a:lnTo>
              <a:close/>
            </a:path>
            <a:path w="314325" h="335914">
              <a:moveTo>
                <a:pt x="82042" y="213487"/>
              </a:moveTo>
              <a:lnTo>
                <a:pt x="49629" y="240664"/>
              </a:lnTo>
              <a:lnTo>
                <a:pt x="49087" y="245871"/>
              </a:lnTo>
              <a:lnTo>
                <a:pt x="48974" y="247141"/>
              </a:lnTo>
              <a:lnTo>
                <a:pt x="70739" y="280701"/>
              </a:lnTo>
              <a:lnTo>
                <a:pt x="84200" y="283463"/>
              </a:lnTo>
              <a:lnTo>
                <a:pt x="91156" y="282916"/>
              </a:lnTo>
              <a:lnTo>
                <a:pt x="97551" y="281082"/>
              </a:lnTo>
              <a:lnTo>
                <a:pt x="103399" y="277963"/>
              </a:lnTo>
              <a:lnTo>
                <a:pt x="106721" y="275208"/>
              </a:lnTo>
              <a:lnTo>
                <a:pt x="83019" y="275208"/>
              </a:lnTo>
              <a:lnTo>
                <a:pt x="78320" y="273938"/>
              </a:lnTo>
              <a:lnTo>
                <a:pt x="73025" y="272414"/>
              </a:lnTo>
              <a:lnTo>
                <a:pt x="68961" y="270128"/>
              </a:lnTo>
              <a:lnTo>
                <a:pt x="65658" y="266700"/>
              </a:lnTo>
              <a:lnTo>
                <a:pt x="62229" y="263397"/>
              </a:lnTo>
              <a:lnTo>
                <a:pt x="59944" y="259333"/>
              </a:lnTo>
              <a:lnTo>
                <a:pt x="58698" y="255142"/>
              </a:lnTo>
              <a:lnTo>
                <a:pt x="57276" y="249935"/>
              </a:lnTo>
              <a:lnTo>
                <a:pt x="57340" y="244982"/>
              </a:lnTo>
              <a:lnTo>
                <a:pt x="76659" y="220979"/>
              </a:lnTo>
              <a:lnTo>
                <a:pt x="106425" y="220979"/>
              </a:lnTo>
              <a:lnTo>
                <a:pt x="99822" y="214375"/>
              </a:lnTo>
              <a:lnTo>
                <a:pt x="87756" y="214375"/>
              </a:lnTo>
              <a:lnTo>
                <a:pt x="82042" y="213487"/>
              </a:lnTo>
              <a:close/>
            </a:path>
            <a:path w="314325" h="335914">
              <a:moveTo>
                <a:pt x="106425" y="220979"/>
              </a:moveTo>
              <a:lnTo>
                <a:pt x="91567" y="220979"/>
              </a:lnTo>
              <a:lnTo>
                <a:pt x="97917" y="223774"/>
              </a:lnTo>
              <a:lnTo>
                <a:pt x="103504" y="229234"/>
              </a:lnTo>
              <a:lnTo>
                <a:pt x="106325" y="232155"/>
              </a:lnTo>
              <a:lnTo>
                <a:pt x="107136" y="233044"/>
              </a:lnTo>
              <a:lnTo>
                <a:pt x="109474" y="236981"/>
              </a:lnTo>
              <a:lnTo>
                <a:pt x="112014" y="245871"/>
              </a:lnTo>
              <a:lnTo>
                <a:pt x="111978" y="250697"/>
              </a:lnTo>
              <a:lnTo>
                <a:pt x="91821" y="273938"/>
              </a:lnTo>
              <a:lnTo>
                <a:pt x="87249" y="275208"/>
              </a:lnTo>
              <a:lnTo>
                <a:pt x="106721" y="275208"/>
              </a:lnTo>
              <a:lnTo>
                <a:pt x="108712" y="273557"/>
              </a:lnTo>
              <a:lnTo>
                <a:pt x="118937" y="251332"/>
              </a:lnTo>
              <a:lnTo>
                <a:pt x="118914" y="249935"/>
              </a:lnTo>
              <a:lnTo>
                <a:pt x="118462" y="245871"/>
              </a:lnTo>
              <a:lnTo>
                <a:pt x="118364" y="244982"/>
              </a:lnTo>
              <a:lnTo>
                <a:pt x="130429" y="244982"/>
              </a:lnTo>
              <a:lnTo>
                <a:pt x="106425" y="220979"/>
              </a:lnTo>
              <a:close/>
            </a:path>
            <a:path w="314325" h="335914">
              <a:moveTo>
                <a:pt x="130429" y="244982"/>
              </a:moveTo>
              <a:lnTo>
                <a:pt x="118364" y="244982"/>
              </a:lnTo>
              <a:lnTo>
                <a:pt x="126619" y="253237"/>
              </a:lnTo>
              <a:lnTo>
                <a:pt x="132588" y="247141"/>
              </a:lnTo>
              <a:lnTo>
                <a:pt x="130429" y="244982"/>
              </a:lnTo>
              <a:close/>
            </a:path>
            <a:path w="314325" h="335914">
              <a:moveTo>
                <a:pt x="105282" y="179450"/>
              </a:moveTo>
              <a:lnTo>
                <a:pt x="99187" y="185546"/>
              </a:lnTo>
              <a:lnTo>
                <a:pt x="146685" y="233044"/>
              </a:lnTo>
              <a:lnTo>
                <a:pt x="152780" y="226949"/>
              </a:lnTo>
              <a:lnTo>
                <a:pt x="129158" y="203326"/>
              </a:lnTo>
              <a:lnTo>
                <a:pt x="125095" y="198627"/>
              </a:lnTo>
              <a:lnTo>
                <a:pt x="123317" y="195706"/>
              </a:lnTo>
              <a:lnTo>
                <a:pt x="120650" y="191262"/>
              </a:lnTo>
              <a:lnTo>
                <a:pt x="119887" y="187959"/>
              </a:lnTo>
              <a:lnTo>
                <a:pt x="113792" y="187959"/>
              </a:lnTo>
              <a:lnTo>
                <a:pt x="105282" y="179450"/>
              </a:lnTo>
              <a:close/>
            </a:path>
            <a:path w="314325" h="335914">
              <a:moveTo>
                <a:pt x="85090" y="199643"/>
              </a:moveTo>
              <a:lnTo>
                <a:pt x="79121" y="205739"/>
              </a:lnTo>
              <a:lnTo>
                <a:pt x="87756" y="214375"/>
              </a:lnTo>
              <a:lnTo>
                <a:pt x="99822" y="214375"/>
              </a:lnTo>
              <a:lnTo>
                <a:pt x="85090" y="199643"/>
              </a:lnTo>
              <a:close/>
            </a:path>
            <a:path w="314325" h="335914">
              <a:moveTo>
                <a:pt x="157873" y="161416"/>
              </a:moveTo>
              <a:lnTo>
                <a:pt x="140080" y="161416"/>
              </a:lnTo>
              <a:lnTo>
                <a:pt x="143891" y="162432"/>
              </a:lnTo>
              <a:lnTo>
                <a:pt x="147700" y="164845"/>
              </a:lnTo>
              <a:lnTo>
                <a:pt x="149987" y="166242"/>
              </a:lnTo>
              <a:lnTo>
                <a:pt x="153924" y="169671"/>
              </a:lnTo>
              <a:lnTo>
                <a:pt x="181991" y="197738"/>
              </a:lnTo>
              <a:lnTo>
                <a:pt x="188087" y="191642"/>
              </a:lnTo>
              <a:lnTo>
                <a:pt x="163829" y="167258"/>
              </a:lnTo>
              <a:lnTo>
                <a:pt x="157873" y="161416"/>
              </a:lnTo>
              <a:close/>
            </a:path>
            <a:path w="314325" h="335914">
              <a:moveTo>
                <a:pt x="138556" y="152780"/>
              </a:moveTo>
              <a:lnTo>
                <a:pt x="114680" y="172592"/>
              </a:lnTo>
              <a:lnTo>
                <a:pt x="113283" y="177164"/>
              </a:lnTo>
              <a:lnTo>
                <a:pt x="113029" y="182244"/>
              </a:lnTo>
              <a:lnTo>
                <a:pt x="113792" y="187959"/>
              </a:lnTo>
              <a:lnTo>
                <a:pt x="119887" y="187959"/>
              </a:lnTo>
              <a:lnTo>
                <a:pt x="119506" y="186308"/>
              </a:lnTo>
              <a:lnTo>
                <a:pt x="120523" y="175513"/>
              </a:lnTo>
              <a:lnTo>
                <a:pt x="122554" y="170941"/>
              </a:lnTo>
              <a:lnTo>
                <a:pt x="126365" y="167258"/>
              </a:lnTo>
              <a:lnTo>
                <a:pt x="129540" y="164083"/>
              </a:lnTo>
              <a:lnTo>
                <a:pt x="132969" y="162178"/>
              </a:lnTo>
              <a:lnTo>
                <a:pt x="140080" y="161416"/>
              </a:lnTo>
              <a:lnTo>
                <a:pt x="157873" y="161416"/>
              </a:lnTo>
              <a:lnTo>
                <a:pt x="157225" y="160781"/>
              </a:lnTo>
              <a:lnTo>
                <a:pt x="151765" y="156590"/>
              </a:lnTo>
              <a:lnTo>
                <a:pt x="147447" y="154812"/>
              </a:lnTo>
              <a:lnTo>
                <a:pt x="143128" y="153162"/>
              </a:lnTo>
              <a:lnTo>
                <a:pt x="138556" y="152780"/>
              </a:lnTo>
              <a:close/>
            </a:path>
            <a:path w="314325" h="335914">
              <a:moveTo>
                <a:pt x="194945" y="131317"/>
              </a:moveTo>
              <a:lnTo>
                <a:pt x="170815" y="155320"/>
              </a:lnTo>
              <a:lnTo>
                <a:pt x="176275" y="160781"/>
              </a:lnTo>
              <a:lnTo>
                <a:pt x="176021" y="160781"/>
              </a:lnTo>
              <a:lnTo>
                <a:pt x="200278" y="136651"/>
              </a:lnTo>
              <a:lnTo>
                <a:pt x="194945" y="131317"/>
              </a:lnTo>
              <a:close/>
            </a:path>
            <a:path w="314325" h="335914">
              <a:moveTo>
                <a:pt x="224431" y="63372"/>
              </a:moveTo>
              <a:lnTo>
                <a:pt x="220218" y="63372"/>
              </a:lnTo>
              <a:lnTo>
                <a:pt x="198882" y="63880"/>
              </a:lnTo>
              <a:lnTo>
                <a:pt x="210184" y="63880"/>
              </a:lnTo>
              <a:lnTo>
                <a:pt x="213995" y="65404"/>
              </a:lnTo>
              <a:lnTo>
                <a:pt x="220472" y="71881"/>
              </a:lnTo>
              <a:lnTo>
                <a:pt x="222503" y="75310"/>
              </a:lnTo>
              <a:lnTo>
                <a:pt x="223520" y="79501"/>
              </a:lnTo>
              <a:lnTo>
                <a:pt x="224663" y="83565"/>
              </a:lnTo>
              <a:lnTo>
                <a:pt x="225059" y="88010"/>
              </a:lnTo>
              <a:lnTo>
                <a:pt x="225082" y="88264"/>
              </a:lnTo>
              <a:lnTo>
                <a:pt x="225195" y="89534"/>
              </a:lnTo>
              <a:lnTo>
                <a:pt x="225298" y="90677"/>
              </a:lnTo>
              <a:lnTo>
                <a:pt x="225891" y="106425"/>
              </a:lnTo>
              <a:lnTo>
                <a:pt x="227711" y="152145"/>
              </a:lnTo>
              <a:lnTo>
                <a:pt x="247845" y="131952"/>
              </a:lnTo>
              <a:lnTo>
                <a:pt x="235457" y="131952"/>
              </a:lnTo>
              <a:lnTo>
                <a:pt x="234061" y="94995"/>
              </a:lnTo>
              <a:lnTo>
                <a:pt x="233970" y="92582"/>
              </a:lnTo>
              <a:lnTo>
                <a:pt x="233854" y="89534"/>
              </a:lnTo>
              <a:lnTo>
                <a:pt x="233777" y="88010"/>
              </a:lnTo>
              <a:lnTo>
                <a:pt x="232918" y="80517"/>
              </a:lnTo>
              <a:lnTo>
                <a:pt x="231394" y="75564"/>
              </a:lnTo>
              <a:lnTo>
                <a:pt x="229997" y="70612"/>
              </a:lnTo>
              <a:lnTo>
                <a:pt x="227456" y="66293"/>
              </a:lnTo>
              <a:lnTo>
                <a:pt x="224431" y="63372"/>
              </a:lnTo>
              <a:close/>
            </a:path>
            <a:path w="314325" h="335914">
              <a:moveTo>
                <a:pt x="265049" y="102234"/>
              </a:moveTo>
              <a:lnTo>
                <a:pt x="235457" y="131952"/>
              </a:lnTo>
              <a:lnTo>
                <a:pt x="247845" y="131952"/>
              </a:lnTo>
              <a:lnTo>
                <a:pt x="271272" y="108457"/>
              </a:lnTo>
              <a:lnTo>
                <a:pt x="265049" y="102234"/>
              </a:lnTo>
              <a:close/>
            </a:path>
            <a:path w="314325" h="335914">
              <a:moveTo>
                <a:pt x="197357" y="54482"/>
              </a:moveTo>
              <a:lnTo>
                <a:pt x="190334" y="57530"/>
              </a:lnTo>
              <a:lnTo>
                <a:pt x="190502" y="57530"/>
              </a:lnTo>
              <a:lnTo>
                <a:pt x="184785" y="63372"/>
              </a:lnTo>
              <a:lnTo>
                <a:pt x="178816" y="69341"/>
              </a:lnTo>
              <a:lnTo>
                <a:pt x="175768" y="76326"/>
              </a:lnTo>
              <a:lnTo>
                <a:pt x="175768" y="92582"/>
              </a:lnTo>
              <a:lnTo>
                <a:pt x="178943" y="99949"/>
              </a:lnTo>
              <a:lnTo>
                <a:pt x="185039" y="106425"/>
              </a:lnTo>
              <a:lnTo>
                <a:pt x="191262" y="100202"/>
              </a:lnTo>
              <a:lnTo>
                <a:pt x="186690" y="94995"/>
              </a:lnTo>
              <a:lnTo>
                <a:pt x="184403" y="89534"/>
              </a:lnTo>
              <a:lnTo>
                <a:pt x="184276" y="78612"/>
              </a:lnTo>
              <a:lnTo>
                <a:pt x="186308" y="73787"/>
              </a:lnTo>
              <a:lnTo>
                <a:pt x="190500" y="69722"/>
              </a:lnTo>
              <a:lnTo>
                <a:pt x="194437" y="65785"/>
              </a:lnTo>
              <a:lnTo>
                <a:pt x="199008" y="63880"/>
              </a:lnTo>
              <a:lnTo>
                <a:pt x="210184" y="63880"/>
              </a:lnTo>
              <a:lnTo>
                <a:pt x="208914" y="63372"/>
              </a:lnTo>
              <a:lnTo>
                <a:pt x="224431" y="63372"/>
              </a:lnTo>
              <a:lnTo>
                <a:pt x="223774" y="62737"/>
              </a:lnTo>
              <a:lnTo>
                <a:pt x="218567" y="57530"/>
              </a:lnTo>
              <a:lnTo>
                <a:pt x="212344" y="54863"/>
              </a:lnTo>
              <a:lnTo>
                <a:pt x="208597" y="54863"/>
              </a:lnTo>
              <a:lnTo>
                <a:pt x="197357" y="54482"/>
              </a:lnTo>
              <a:close/>
            </a:path>
            <a:path w="314325" h="335914">
              <a:moveTo>
                <a:pt x="248157" y="0"/>
              </a:moveTo>
              <a:lnTo>
                <a:pt x="246761" y="1269"/>
              </a:lnTo>
              <a:lnTo>
                <a:pt x="261874" y="88010"/>
              </a:lnTo>
              <a:lnTo>
                <a:pt x="279780" y="70103"/>
              </a:lnTo>
              <a:lnTo>
                <a:pt x="267462" y="70103"/>
              </a:lnTo>
              <a:lnTo>
                <a:pt x="259588" y="24129"/>
              </a:lnTo>
              <a:lnTo>
                <a:pt x="272356" y="24129"/>
              </a:lnTo>
              <a:lnTo>
                <a:pt x="248157" y="0"/>
              </a:lnTo>
              <a:close/>
            </a:path>
            <a:path w="314325" h="335914">
              <a:moveTo>
                <a:pt x="305689" y="57530"/>
              </a:moveTo>
              <a:lnTo>
                <a:pt x="292864" y="57530"/>
              </a:lnTo>
              <a:lnTo>
                <a:pt x="307594" y="72135"/>
              </a:lnTo>
              <a:lnTo>
                <a:pt x="313944" y="65785"/>
              </a:lnTo>
              <a:lnTo>
                <a:pt x="305689" y="57530"/>
              </a:lnTo>
              <a:close/>
            </a:path>
            <a:path w="314325" h="335914">
              <a:moveTo>
                <a:pt x="272356" y="24129"/>
              </a:moveTo>
              <a:lnTo>
                <a:pt x="259588" y="24129"/>
              </a:lnTo>
              <a:lnTo>
                <a:pt x="286512" y="51180"/>
              </a:lnTo>
              <a:lnTo>
                <a:pt x="267462" y="70103"/>
              </a:lnTo>
              <a:lnTo>
                <a:pt x="279780" y="70103"/>
              </a:lnTo>
              <a:lnTo>
                <a:pt x="292353" y="57530"/>
              </a:lnTo>
              <a:lnTo>
                <a:pt x="305689" y="57530"/>
              </a:lnTo>
              <a:lnTo>
                <a:pt x="299085" y="50926"/>
              </a:lnTo>
              <a:lnTo>
                <a:pt x="305207" y="44703"/>
              </a:lnTo>
              <a:lnTo>
                <a:pt x="292989" y="44703"/>
              </a:lnTo>
              <a:lnTo>
                <a:pt x="272356" y="24129"/>
              </a:lnTo>
              <a:close/>
            </a:path>
            <a:path w="314325" h="335914">
              <a:moveTo>
                <a:pt x="220218" y="63372"/>
              </a:moveTo>
              <a:lnTo>
                <a:pt x="208914" y="63372"/>
              </a:lnTo>
              <a:lnTo>
                <a:pt x="210184" y="63880"/>
              </a:lnTo>
              <a:lnTo>
                <a:pt x="198882" y="63880"/>
              </a:lnTo>
              <a:lnTo>
                <a:pt x="220218" y="63372"/>
              </a:lnTo>
              <a:close/>
            </a:path>
            <a:path w="314325" h="335914">
              <a:moveTo>
                <a:pt x="300736" y="36956"/>
              </a:moveTo>
              <a:lnTo>
                <a:pt x="292989" y="44703"/>
              </a:lnTo>
              <a:lnTo>
                <a:pt x="305207" y="44703"/>
              </a:lnTo>
              <a:lnTo>
                <a:pt x="306831" y="43052"/>
              </a:lnTo>
              <a:lnTo>
                <a:pt x="300736" y="36956"/>
              </a:lnTo>
              <a:close/>
            </a:path>
          </a:pathLst>
        </a:custGeom>
        <a:solidFill>
          <a:srgbClr val="003366"/>
        </a:solidFill>
      </xdr:spPr>
      <xdr:txBody>
        <a:bodyPr wrap="square" lIns="0" tIns="0" rIns="0" bIns="0" rtlCol="0"/>
        <a:lstStyle>
          <a:defPPr>
            <a:defRPr kern="0"/>
          </a:defPPr>
        </a:lstStyle>
        <a:p>
          <a:endParaRPr/>
        </a:p>
      </xdr:txBody>
    </xdr:sp>
    <xdr:clientData/>
  </xdr:twoCellAnchor>
  <xdr:twoCellAnchor>
    <xdr:from>
      <xdr:col>9</xdr:col>
      <xdr:colOff>0</xdr:colOff>
      <xdr:row>31</xdr:row>
      <xdr:rowOff>181890</xdr:rowOff>
    </xdr:from>
    <xdr:to>
      <xdr:col>9</xdr:col>
      <xdr:colOff>282575</xdr:colOff>
      <xdr:row>40</xdr:row>
      <xdr:rowOff>153315</xdr:rowOff>
    </xdr:to>
    <xdr:sp macro="" textlink="">
      <xdr:nvSpPr>
        <xdr:cNvPr id="31" name="object 40">
          <a:extLst>
            <a:ext uri="{FF2B5EF4-FFF2-40B4-BE49-F238E27FC236}">
              <a16:creationId xmlns:a16="http://schemas.microsoft.com/office/drawing/2014/main" id="{00000000-0008-0000-0100-00001F000000}"/>
            </a:ext>
          </a:extLst>
        </xdr:cNvPr>
        <xdr:cNvSpPr txBox="1"/>
      </xdr:nvSpPr>
      <xdr:spPr>
        <a:xfrm>
          <a:off x="6057900" y="5706390"/>
          <a:ext cx="282575" cy="1685925"/>
        </a:xfrm>
        <a:prstGeom prst="rect">
          <a:avLst/>
        </a:prstGeom>
      </xdr:spPr>
      <xdr:txBody>
        <a:bodyPr vert="horz" wrap="square" lIns="0" tIns="81915" rIns="0" bIns="0" rtlCol="0">
          <a:spAutoFit/>
        </a:bodyPr>
        <a:lstStyle>
          <a:defPPr>
            <a:defRPr kern="0"/>
          </a:defPPr>
        </a:lstStyle>
        <a:p>
          <a:pPr marR="5080" algn="r">
            <a:lnSpc>
              <a:spcPct val="100000"/>
            </a:lnSpc>
            <a:spcBef>
              <a:spcPts val="645"/>
            </a:spcBef>
          </a:pPr>
          <a:r>
            <a:rPr sz="1000">
              <a:solidFill>
                <a:srgbClr val="003366"/>
              </a:solidFill>
              <a:latin typeface="Verdana"/>
              <a:cs typeface="Verdana"/>
            </a:rPr>
            <a:t>€</a:t>
          </a:r>
          <a:r>
            <a:rPr sz="1000" spc="-75">
              <a:solidFill>
                <a:srgbClr val="003366"/>
              </a:solidFill>
              <a:latin typeface="Verdana"/>
              <a:cs typeface="Verdana"/>
            </a:rPr>
            <a:t> </a:t>
          </a:r>
          <a:r>
            <a:rPr sz="1000" spc="-60">
              <a:solidFill>
                <a:srgbClr val="003366"/>
              </a:solidFill>
              <a:latin typeface="Verdana"/>
              <a:cs typeface="Verdana"/>
            </a:rPr>
            <a:t>17</a:t>
          </a:r>
          <a:endParaRPr sz="1000">
            <a:latin typeface="Verdana"/>
            <a:cs typeface="Verdana"/>
          </a:endParaRPr>
        </a:p>
        <a:p>
          <a:pPr marR="5080" algn="r">
            <a:lnSpc>
              <a:spcPct val="100000"/>
            </a:lnSpc>
            <a:spcBef>
              <a:spcPts val="550"/>
            </a:spcBef>
          </a:pPr>
          <a:r>
            <a:rPr sz="1000" spc="-25">
              <a:solidFill>
                <a:srgbClr val="003366"/>
              </a:solidFill>
              <a:latin typeface="Verdana"/>
              <a:cs typeface="Verdana"/>
            </a:rPr>
            <a:t>16</a:t>
          </a:r>
          <a:endParaRPr sz="1000">
            <a:latin typeface="Verdana"/>
            <a:cs typeface="Verdana"/>
          </a:endParaRPr>
        </a:p>
        <a:p>
          <a:pPr marR="5080" algn="r">
            <a:lnSpc>
              <a:spcPct val="100000"/>
            </a:lnSpc>
            <a:spcBef>
              <a:spcPts val="545"/>
            </a:spcBef>
          </a:pPr>
          <a:r>
            <a:rPr sz="1000" spc="-25">
              <a:solidFill>
                <a:srgbClr val="003366"/>
              </a:solidFill>
              <a:latin typeface="Verdana"/>
              <a:cs typeface="Verdana"/>
            </a:rPr>
            <a:t>15</a:t>
          </a:r>
          <a:endParaRPr sz="1000">
            <a:latin typeface="Verdana"/>
            <a:cs typeface="Verdana"/>
          </a:endParaRPr>
        </a:p>
        <a:p>
          <a:pPr marR="5080" algn="r">
            <a:lnSpc>
              <a:spcPct val="100000"/>
            </a:lnSpc>
            <a:spcBef>
              <a:spcPts val="545"/>
            </a:spcBef>
          </a:pPr>
          <a:r>
            <a:rPr sz="1000" spc="-25">
              <a:solidFill>
                <a:srgbClr val="003366"/>
              </a:solidFill>
              <a:latin typeface="Verdana"/>
              <a:cs typeface="Verdana"/>
            </a:rPr>
            <a:t>14</a:t>
          </a:r>
          <a:endParaRPr sz="1000">
            <a:latin typeface="Verdana"/>
            <a:cs typeface="Verdana"/>
          </a:endParaRPr>
        </a:p>
        <a:p>
          <a:pPr marR="5080" algn="r">
            <a:lnSpc>
              <a:spcPct val="100000"/>
            </a:lnSpc>
            <a:spcBef>
              <a:spcPts val="545"/>
            </a:spcBef>
          </a:pPr>
          <a:r>
            <a:rPr sz="1000" spc="-25">
              <a:solidFill>
                <a:srgbClr val="003366"/>
              </a:solidFill>
              <a:latin typeface="Verdana"/>
              <a:cs typeface="Verdana"/>
            </a:rPr>
            <a:t>13</a:t>
          </a:r>
          <a:endParaRPr sz="1000">
            <a:latin typeface="Verdana"/>
            <a:cs typeface="Verdana"/>
          </a:endParaRPr>
        </a:p>
        <a:p>
          <a:pPr marR="5080" algn="r">
            <a:lnSpc>
              <a:spcPct val="100000"/>
            </a:lnSpc>
            <a:spcBef>
              <a:spcPts val="550"/>
            </a:spcBef>
          </a:pPr>
          <a:r>
            <a:rPr sz="1000" spc="-25">
              <a:solidFill>
                <a:srgbClr val="003366"/>
              </a:solidFill>
              <a:latin typeface="Verdana"/>
              <a:cs typeface="Verdana"/>
            </a:rPr>
            <a:t>12</a:t>
          </a:r>
          <a:endParaRPr sz="1000">
            <a:latin typeface="Verdana"/>
            <a:cs typeface="Verdana"/>
          </a:endParaRPr>
        </a:p>
        <a:p>
          <a:pPr marR="5080" algn="r">
            <a:lnSpc>
              <a:spcPct val="100000"/>
            </a:lnSpc>
            <a:spcBef>
              <a:spcPts val="545"/>
            </a:spcBef>
          </a:pPr>
          <a:r>
            <a:rPr sz="1000" spc="-25">
              <a:solidFill>
                <a:srgbClr val="003366"/>
              </a:solidFill>
              <a:latin typeface="Verdana"/>
              <a:cs typeface="Verdana"/>
            </a:rPr>
            <a:t>11</a:t>
          </a:r>
          <a:endParaRPr sz="1000">
            <a:latin typeface="Verdana"/>
            <a:cs typeface="Verdana"/>
          </a:endParaRPr>
        </a:p>
        <a:p>
          <a:pPr marR="5080" algn="r">
            <a:lnSpc>
              <a:spcPct val="100000"/>
            </a:lnSpc>
            <a:spcBef>
              <a:spcPts val="545"/>
            </a:spcBef>
          </a:pPr>
          <a:r>
            <a:rPr sz="1000" spc="-25">
              <a:solidFill>
                <a:srgbClr val="003366"/>
              </a:solidFill>
              <a:latin typeface="Verdana"/>
              <a:cs typeface="Verdana"/>
            </a:rPr>
            <a:t>10</a:t>
          </a:r>
          <a:endParaRPr sz="1000">
            <a:latin typeface="Verdana"/>
            <a:cs typeface="Verdana"/>
          </a:endParaRPr>
        </a:p>
      </xdr:txBody>
    </xdr:sp>
    <xdr:clientData/>
  </xdr:twoCellAnchor>
  <xdr:twoCellAnchor>
    <xdr:from>
      <xdr:col>17</xdr:col>
      <xdr:colOff>597713</xdr:colOff>
      <xdr:row>31</xdr:row>
      <xdr:rowOff>74300</xdr:rowOff>
    </xdr:from>
    <xdr:to>
      <xdr:col>22</xdr:col>
      <xdr:colOff>59315</xdr:colOff>
      <xdr:row>32</xdr:row>
      <xdr:rowOff>69215</xdr:rowOff>
    </xdr:to>
    <xdr:sp macro="" textlink="">
      <xdr:nvSpPr>
        <xdr:cNvPr id="32" name="object 41">
          <a:extLst>
            <a:ext uri="{FF2B5EF4-FFF2-40B4-BE49-F238E27FC236}">
              <a16:creationId xmlns:a16="http://schemas.microsoft.com/office/drawing/2014/main" id="{00000000-0008-0000-0100-000020000000}"/>
            </a:ext>
          </a:extLst>
        </xdr:cNvPr>
        <xdr:cNvSpPr txBox="1"/>
      </xdr:nvSpPr>
      <xdr:spPr>
        <a:xfrm>
          <a:off x="12040413" y="5598800"/>
          <a:ext cx="2827102" cy="185415"/>
        </a:xfrm>
        <a:prstGeom prst="rect">
          <a:avLst/>
        </a:prstGeom>
      </xdr:spPr>
      <xdr:txBody>
        <a:bodyPr vert="horz" wrap="square" lIns="0" tIns="12700" rIns="0" bIns="0" rtlCol="0">
          <a:spAutoFit/>
        </a:bodyPr>
        <a:lstStyle>
          <a:defPPr>
            <a:defRPr kern="0"/>
          </a:defPPr>
        </a:lstStyle>
        <a:p>
          <a:pPr marL="12700">
            <a:lnSpc>
              <a:spcPct val="100000"/>
            </a:lnSpc>
            <a:spcBef>
              <a:spcPts val="100"/>
            </a:spcBef>
          </a:pPr>
          <a:r>
            <a:rPr sz="1100" b="1">
              <a:solidFill>
                <a:srgbClr val="003366"/>
              </a:solidFill>
              <a:latin typeface="Tahoma"/>
              <a:cs typeface="Tahoma"/>
            </a:rPr>
            <a:t>Mediobanca</a:t>
          </a:r>
          <a:r>
            <a:rPr sz="1100" b="1" spc="-5">
              <a:solidFill>
                <a:srgbClr val="003366"/>
              </a:solidFill>
              <a:latin typeface="Tahoma"/>
              <a:cs typeface="Tahoma"/>
            </a:rPr>
            <a:t> </a:t>
          </a:r>
          <a:r>
            <a:rPr sz="1100" b="1" spc="-250">
              <a:solidFill>
                <a:srgbClr val="003366"/>
              </a:solidFill>
              <a:latin typeface="Tahoma"/>
              <a:cs typeface="Tahoma"/>
            </a:rPr>
            <a:t>=</a:t>
          </a:r>
          <a:r>
            <a:rPr sz="1100" b="1" spc="55">
              <a:solidFill>
                <a:srgbClr val="003366"/>
              </a:solidFill>
              <a:latin typeface="Tahoma"/>
              <a:cs typeface="Tahoma"/>
            </a:rPr>
            <a:t> </a:t>
          </a:r>
          <a:r>
            <a:rPr sz="1100" b="1" spc="-200">
              <a:solidFill>
                <a:srgbClr val="003366"/>
              </a:solidFill>
              <a:latin typeface="Tahoma"/>
              <a:cs typeface="Tahoma"/>
            </a:rPr>
            <a:t>+</a:t>
          </a:r>
          <a:r>
            <a:rPr lang="it-IT" sz="1100" b="1" spc="-200">
              <a:solidFill>
                <a:srgbClr val="003366"/>
              </a:solidFill>
              <a:latin typeface="Tahoma"/>
              <a:cs typeface="Tahoma"/>
            </a:rPr>
            <a:t> </a:t>
          </a:r>
          <a:r>
            <a:rPr sz="1100" b="1" spc="-200">
              <a:solidFill>
                <a:srgbClr val="003366"/>
              </a:solidFill>
              <a:latin typeface="Tahoma"/>
              <a:cs typeface="Tahoma"/>
            </a:rPr>
            <a:t>3</a:t>
          </a:r>
          <a:r>
            <a:rPr lang="it-IT" sz="1100" b="1" spc="-200">
              <a:solidFill>
                <a:srgbClr val="003366"/>
              </a:solidFill>
              <a:latin typeface="Tahoma"/>
              <a:cs typeface="Tahoma"/>
            </a:rPr>
            <a:t>  </a:t>
          </a:r>
          <a:r>
            <a:rPr sz="1100" b="1" spc="-200">
              <a:solidFill>
                <a:srgbClr val="003366"/>
              </a:solidFill>
              <a:latin typeface="Tahoma"/>
              <a:cs typeface="Tahoma"/>
            </a:rPr>
            <a:t>4</a:t>
          </a:r>
          <a:r>
            <a:rPr lang="it-IT" sz="1100" b="1" spc="-200">
              <a:solidFill>
                <a:srgbClr val="003366"/>
              </a:solidFill>
              <a:latin typeface="Tahoma"/>
              <a:cs typeface="Tahoma"/>
            </a:rPr>
            <a:t> </a:t>
          </a:r>
          <a:r>
            <a:rPr sz="1100" b="1" spc="-200">
              <a:solidFill>
                <a:srgbClr val="003366"/>
              </a:solidFill>
              <a:latin typeface="Tahoma"/>
              <a:cs typeface="Tahoma"/>
            </a:rPr>
            <a:t>%</a:t>
          </a:r>
          <a:r>
            <a:rPr sz="1100" b="1" spc="40">
              <a:solidFill>
                <a:srgbClr val="003366"/>
              </a:solidFill>
              <a:latin typeface="Tahoma"/>
              <a:cs typeface="Tahoma"/>
            </a:rPr>
            <a:t> </a:t>
          </a:r>
          <a:r>
            <a:rPr sz="1100" b="1" spc="-140">
              <a:solidFill>
                <a:srgbClr val="003366"/>
              </a:solidFill>
              <a:latin typeface="Tahoma"/>
              <a:cs typeface="Tahoma"/>
            </a:rPr>
            <a:t>/</a:t>
          </a:r>
          <a:r>
            <a:rPr sz="1100" b="1" spc="45">
              <a:solidFill>
                <a:srgbClr val="003366"/>
              </a:solidFill>
              <a:latin typeface="Tahoma"/>
              <a:cs typeface="Tahoma"/>
            </a:rPr>
            <a:t> </a:t>
          </a:r>
          <a:r>
            <a:rPr sz="1100" b="1" spc="-155">
              <a:solidFill>
                <a:srgbClr val="003366"/>
              </a:solidFill>
              <a:latin typeface="Tahoma"/>
              <a:cs typeface="Tahoma"/>
            </a:rPr>
            <a:t>T</a:t>
          </a:r>
          <a:r>
            <a:rPr lang="it-IT" sz="1100" b="1" spc="-155">
              <a:solidFill>
                <a:srgbClr val="003366"/>
              </a:solidFill>
              <a:latin typeface="Tahoma"/>
              <a:cs typeface="Tahoma"/>
            </a:rPr>
            <a:t> </a:t>
          </a:r>
          <a:r>
            <a:rPr sz="1100" b="1" spc="-155">
              <a:solidFill>
                <a:srgbClr val="003366"/>
              </a:solidFill>
              <a:latin typeface="Tahoma"/>
              <a:cs typeface="Tahoma"/>
            </a:rPr>
            <a:t>S</a:t>
          </a:r>
          <a:r>
            <a:rPr lang="it-IT" sz="1100" b="1" spc="-155">
              <a:solidFill>
                <a:srgbClr val="003366"/>
              </a:solidFill>
              <a:latin typeface="Tahoma"/>
              <a:cs typeface="Tahoma"/>
            </a:rPr>
            <a:t> </a:t>
          </a:r>
          <a:r>
            <a:rPr sz="1100" b="1" spc="-155">
              <a:solidFill>
                <a:srgbClr val="003366"/>
              </a:solidFill>
              <a:latin typeface="Tahoma"/>
              <a:cs typeface="Tahoma"/>
            </a:rPr>
            <a:t>R</a:t>
          </a:r>
          <a:r>
            <a:rPr lang="it-IT" sz="1100" b="1" spc="-155">
              <a:solidFill>
                <a:srgbClr val="003366"/>
              </a:solidFill>
              <a:latin typeface="Tahoma"/>
              <a:cs typeface="Tahoma"/>
            </a:rPr>
            <a:t> </a:t>
          </a:r>
          <a:r>
            <a:rPr sz="1100" b="1" spc="-155">
              <a:solidFill>
                <a:srgbClr val="003366"/>
              </a:solidFill>
              <a:latin typeface="Tahoma"/>
              <a:cs typeface="Tahoma"/>
            </a:rPr>
            <a:t>:</a:t>
          </a:r>
          <a:r>
            <a:rPr sz="1100" b="1" spc="45">
              <a:solidFill>
                <a:srgbClr val="003366"/>
              </a:solidFill>
              <a:latin typeface="Tahoma"/>
              <a:cs typeface="Tahoma"/>
            </a:rPr>
            <a:t> </a:t>
          </a:r>
          <a:r>
            <a:rPr sz="1100" b="1" spc="-130">
              <a:solidFill>
                <a:srgbClr val="003366"/>
              </a:solidFill>
              <a:latin typeface="Tahoma"/>
              <a:cs typeface="Tahoma"/>
            </a:rPr>
            <a:t>3</a:t>
          </a:r>
          <a:r>
            <a:rPr lang="it-IT" sz="1100" b="1" spc="-130">
              <a:solidFill>
                <a:srgbClr val="003366"/>
              </a:solidFill>
              <a:latin typeface="Tahoma"/>
              <a:cs typeface="Tahoma"/>
            </a:rPr>
            <a:t> </a:t>
          </a:r>
          <a:r>
            <a:rPr sz="1100" b="1" spc="-130">
              <a:solidFill>
                <a:srgbClr val="003366"/>
              </a:solidFill>
              <a:latin typeface="Tahoma"/>
              <a:cs typeface="Tahoma"/>
            </a:rPr>
            <a:t>9</a:t>
          </a:r>
          <a:r>
            <a:rPr lang="it-IT" sz="1100" b="1" spc="-130">
              <a:solidFill>
                <a:srgbClr val="003366"/>
              </a:solidFill>
              <a:latin typeface="Tahoma"/>
              <a:cs typeface="Tahoma"/>
            </a:rPr>
            <a:t> </a:t>
          </a:r>
          <a:r>
            <a:rPr sz="1100" b="1" spc="-130">
              <a:solidFill>
                <a:srgbClr val="003366"/>
              </a:solidFill>
              <a:latin typeface="Tahoma"/>
              <a:cs typeface="Tahoma"/>
            </a:rPr>
            <a:t>%</a:t>
          </a:r>
          <a:endParaRPr sz="1100">
            <a:latin typeface="Tahoma"/>
            <a:cs typeface="Tahoma"/>
          </a:endParaRPr>
        </a:p>
      </xdr:txBody>
    </xdr:sp>
    <xdr:clientData/>
  </xdr:twoCellAnchor>
  <xdr:twoCellAnchor>
    <xdr:from>
      <xdr:col>18</xdr:col>
      <xdr:colOff>389874</xdr:colOff>
      <xdr:row>38</xdr:row>
      <xdr:rowOff>95441</xdr:rowOff>
    </xdr:from>
    <xdr:to>
      <xdr:col>22</xdr:col>
      <xdr:colOff>311313</xdr:colOff>
      <xdr:row>39</xdr:row>
      <xdr:rowOff>86805</xdr:rowOff>
    </xdr:to>
    <xdr:sp macro="" textlink="">
      <xdr:nvSpPr>
        <xdr:cNvPr id="33" name="object 42">
          <a:extLst>
            <a:ext uri="{FF2B5EF4-FFF2-40B4-BE49-F238E27FC236}">
              <a16:creationId xmlns:a16="http://schemas.microsoft.com/office/drawing/2014/main" id="{00000000-0008-0000-0100-000021000000}"/>
            </a:ext>
          </a:extLst>
        </xdr:cNvPr>
        <xdr:cNvSpPr txBox="1"/>
      </xdr:nvSpPr>
      <xdr:spPr>
        <a:xfrm>
          <a:off x="12505674" y="6953441"/>
          <a:ext cx="2613839" cy="181864"/>
        </a:xfrm>
        <a:prstGeom prst="rect">
          <a:avLst/>
        </a:prstGeom>
      </xdr:spPr>
      <xdr:txBody>
        <a:bodyPr vert="horz" wrap="square" lIns="0" tIns="12700" rIns="0" bIns="0" rtlCol="0">
          <a:spAutoFit/>
        </a:bodyPr>
        <a:lstStyle>
          <a:defPPr>
            <a:defRPr kern="0"/>
          </a:defPPr>
        </a:lstStyle>
        <a:p>
          <a:pPr marL="12700">
            <a:lnSpc>
              <a:spcPct val="100000"/>
            </a:lnSpc>
            <a:spcBef>
              <a:spcPts val="100"/>
            </a:spcBef>
          </a:pPr>
          <a:r>
            <a:rPr sz="1100" b="1" spc="-114">
              <a:solidFill>
                <a:srgbClr val="937039"/>
              </a:solidFill>
              <a:latin typeface="Tahoma"/>
              <a:cs typeface="Tahoma"/>
            </a:rPr>
            <a:t>EU</a:t>
          </a:r>
          <a:r>
            <a:rPr sz="1100" b="1">
              <a:solidFill>
                <a:srgbClr val="937039"/>
              </a:solidFill>
              <a:latin typeface="Tahoma"/>
              <a:cs typeface="Tahoma"/>
            </a:rPr>
            <a:t> </a:t>
          </a:r>
          <a:r>
            <a:rPr sz="1100" b="1" spc="-60">
              <a:solidFill>
                <a:srgbClr val="937039"/>
              </a:solidFill>
              <a:latin typeface="Tahoma"/>
              <a:cs typeface="Tahoma"/>
            </a:rPr>
            <a:t>banks=</a:t>
          </a:r>
          <a:r>
            <a:rPr sz="1100" b="1" spc="10">
              <a:solidFill>
                <a:srgbClr val="937039"/>
              </a:solidFill>
              <a:latin typeface="Tahoma"/>
              <a:cs typeface="Tahoma"/>
            </a:rPr>
            <a:t> </a:t>
          </a:r>
          <a:r>
            <a:rPr sz="1100" b="1" spc="-200">
              <a:solidFill>
                <a:srgbClr val="937039"/>
              </a:solidFill>
              <a:latin typeface="Tahoma"/>
              <a:cs typeface="Tahoma"/>
            </a:rPr>
            <a:t>+</a:t>
          </a:r>
          <a:r>
            <a:rPr lang="it-IT" sz="1100" b="1" spc="-200">
              <a:solidFill>
                <a:srgbClr val="937039"/>
              </a:solidFill>
              <a:latin typeface="Tahoma"/>
              <a:cs typeface="Tahoma"/>
            </a:rPr>
            <a:t> </a:t>
          </a:r>
          <a:r>
            <a:rPr sz="1100" b="1" spc="-200">
              <a:solidFill>
                <a:srgbClr val="937039"/>
              </a:solidFill>
              <a:latin typeface="Tahoma"/>
              <a:cs typeface="Tahoma"/>
            </a:rPr>
            <a:t>1</a:t>
          </a:r>
          <a:r>
            <a:rPr lang="it-IT" sz="1100" b="1" spc="-200">
              <a:solidFill>
                <a:srgbClr val="937039"/>
              </a:solidFill>
              <a:latin typeface="Tahoma"/>
              <a:cs typeface="Tahoma"/>
            </a:rPr>
            <a:t> </a:t>
          </a:r>
          <a:r>
            <a:rPr sz="1100" b="1" spc="-200">
              <a:solidFill>
                <a:srgbClr val="937039"/>
              </a:solidFill>
              <a:latin typeface="Tahoma"/>
              <a:cs typeface="Tahoma"/>
            </a:rPr>
            <a:t>9</a:t>
          </a:r>
          <a:r>
            <a:rPr lang="it-IT" sz="1100" b="1" spc="-200">
              <a:solidFill>
                <a:srgbClr val="937039"/>
              </a:solidFill>
              <a:latin typeface="Tahoma"/>
              <a:cs typeface="Tahoma"/>
            </a:rPr>
            <a:t>  </a:t>
          </a:r>
          <a:r>
            <a:rPr sz="1100" b="1" spc="-200">
              <a:solidFill>
                <a:srgbClr val="937039"/>
              </a:solidFill>
              <a:latin typeface="Tahoma"/>
              <a:cs typeface="Tahoma"/>
            </a:rPr>
            <a:t>%</a:t>
          </a:r>
          <a:r>
            <a:rPr sz="1100" b="1" spc="-5">
              <a:solidFill>
                <a:srgbClr val="937039"/>
              </a:solidFill>
              <a:latin typeface="Tahoma"/>
              <a:cs typeface="Tahoma"/>
            </a:rPr>
            <a:t> </a:t>
          </a:r>
          <a:r>
            <a:rPr sz="1100" b="1" spc="-140">
              <a:solidFill>
                <a:srgbClr val="937039"/>
              </a:solidFill>
              <a:latin typeface="Tahoma"/>
              <a:cs typeface="Tahoma"/>
            </a:rPr>
            <a:t>/</a:t>
          </a:r>
          <a:r>
            <a:rPr sz="1100" b="1" spc="5">
              <a:solidFill>
                <a:srgbClr val="937039"/>
              </a:solidFill>
              <a:latin typeface="Tahoma"/>
              <a:cs typeface="Tahoma"/>
            </a:rPr>
            <a:t> </a:t>
          </a:r>
          <a:r>
            <a:rPr sz="1100" b="1" spc="-155">
              <a:solidFill>
                <a:srgbClr val="937039"/>
              </a:solidFill>
              <a:latin typeface="Tahoma"/>
              <a:cs typeface="Tahoma"/>
            </a:rPr>
            <a:t>T</a:t>
          </a:r>
          <a:r>
            <a:rPr lang="it-IT" sz="1100" b="1" spc="-155">
              <a:solidFill>
                <a:srgbClr val="937039"/>
              </a:solidFill>
              <a:latin typeface="Tahoma"/>
              <a:cs typeface="Tahoma"/>
            </a:rPr>
            <a:t> </a:t>
          </a:r>
          <a:r>
            <a:rPr sz="1100" b="1" spc="-155">
              <a:solidFill>
                <a:srgbClr val="937039"/>
              </a:solidFill>
              <a:latin typeface="Tahoma"/>
              <a:cs typeface="Tahoma"/>
            </a:rPr>
            <a:t>S</a:t>
          </a:r>
          <a:r>
            <a:rPr lang="it-IT" sz="1100" b="1" spc="-155">
              <a:solidFill>
                <a:srgbClr val="937039"/>
              </a:solidFill>
              <a:latin typeface="Tahoma"/>
              <a:cs typeface="Tahoma"/>
            </a:rPr>
            <a:t> </a:t>
          </a:r>
          <a:r>
            <a:rPr sz="1100" b="1" spc="-155">
              <a:solidFill>
                <a:srgbClr val="937039"/>
              </a:solidFill>
              <a:latin typeface="Tahoma"/>
              <a:cs typeface="Tahoma"/>
            </a:rPr>
            <a:t>R</a:t>
          </a:r>
          <a:r>
            <a:rPr lang="it-IT" sz="1100" b="1" spc="-155">
              <a:solidFill>
                <a:srgbClr val="937039"/>
              </a:solidFill>
              <a:latin typeface="Tahoma"/>
              <a:cs typeface="Tahoma"/>
            </a:rPr>
            <a:t> </a:t>
          </a:r>
          <a:r>
            <a:rPr sz="1100" b="1" spc="-155">
              <a:solidFill>
                <a:srgbClr val="937039"/>
              </a:solidFill>
              <a:latin typeface="Tahoma"/>
              <a:cs typeface="Tahoma"/>
            </a:rPr>
            <a:t>:</a:t>
          </a:r>
          <a:r>
            <a:rPr lang="it-IT" sz="1100" b="1" spc="-155">
              <a:solidFill>
                <a:srgbClr val="937039"/>
              </a:solidFill>
              <a:latin typeface="Tahoma"/>
              <a:cs typeface="Tahoma"/>
            </a:rPr>
            <a:t> </a:t>
          </a:r>
          <a:r>
            <a:rPr sz="1100" b="1" spc="-140">
              <a:solidFill>
                <a:srgbClr val="937039"/>
              </a:solidFill>
              <a:latin typeface="Tahoma"/>
              <a:cs typeface="Tahoma"/>
            </a:rPr>
            <a:t>2</a:t>
          </a:r>
          <a:r>
            <a:rPr lang="it-IT" sz="1100" b="1" spc="-140">
              <a:solidFill>
                <a:srgbClr val="937039"/>
              </a:solidFill>
              <a:latin typeface="Tahoma"/>
              <a:cs typeface="Tahoma"/>
            </a:rPr>
            <a:t> </a:t>
          </a:r>
          <a:r>
            <a:rPr sz="1100" b="1" spc="-140">
              <a:solidFill>
                <a:srgbClr val="937039"/>
              </a:solidFill>
              <a:latin typeface="Tahoma"/>
              <a:cs typeface="Tahoma"/>
            </a:rPr>
            <a:t>5</a:t>
          </a:r>
          <a:r>
            <a:rPr lang="it-IT" sz="1100" b="1" spc="-140">
              <a:solidFill>
                <a:srgbClr val="937039"/>
              </a:solidFill>
              <a:latin typeface="Tahoma"/>
              <a:cs typeface="Tahoma"/>
            </a:rPr>
            <a:t> </a:t>
          </a:r>
          <a:r>
            <a:rPr sz="1100" b="1" spc="-140">
              <a:solidFill>
                <a:srgbClr val="937039"/>
              </a:solidFill>
              <a:latin typeface="Tahoma"/>
              <a:cs typeface="Tahoma"/>
            </a:rPr>
            <a:t>%</a:t>
          </a:r>
          <a:endParaRPr sz="1100">
            <a:latin typeface="Tahoma"/>
            <a:cs typeface="Tahoma"/>
          </a:endParaRPr>
        </a:p>
      </xdr:txBody>
    </xdr:sp>
    <xdr:clientData/>
  </xdr:twoCellAnchor>
  <xdr:twoCellAnchor>
    <xdr:from>
      <xdr:col>11</xdr:col>
      <xdr:colOff>442868</xdr:colOff>
      <xdr:row>31</xdr:row>
      <xdr:rowOff>105653</xdr:rowOff>
    </xdr:from>
    <xdr:to>
      <xdr:col>16</xdr:col>
      <xdr:colOff>200804</xdr:colOff>
      <xdr:row>32</xdr:row>
      <xdr:rowOff>97018</xdr:rowOff>
    </xdr:to>
    <xdr:sp macro="" textlink="">
      <xdr:nvSpPr>
        <xdr:cNvPr id="34" name="object 43">
          <a:extLst>
            <a:ext uri="{FF2B5EF4-FFF2-40B4-BE49-F238E27FC236}">
              <a16:creationId xmlns:a16="http://schemas.microsoft.com/office/drawing/2014/main" id="{00000000-0008-0000-0100-000022000000}"/>
            </a:ext>
          </a:extLst>
        </xdr:cNvPr>
        <xdr:cNvSpPr txBox="1"/>
      </xdr:nvSpPr>
      <xdr:spPr>
        <a:xfrm>
          <a:off x="7846968" y="5630153"/>
          <a:ext cx="3123436" cy="181865"/>
        </a:xfrm>
        <a:prstGeom prst="rect">
          <a:avLst/>
        </a:prstGeom>
      </xdr:spPr>
      <xdr:txBody>
        <a:bodyPr vert="horz" wrap="square" lIns="0" tIns="12700" rIns="0" bIns="0" rtlCol="0">
          <a:spAutoFit/>
        </a:bodyPr>
        <a:lstStyle>
          <a:defPPr>
            <a:defRPr kern="0"/>
          </a:defPPr>
        </a:lstStyle>
        <a:p>
          <a:pPr marL="12700">
            <a:lnSpc>
              <a:spcPct val="100000"/>
            </a:lnSpc>
            <a:spcBef>
              <a:spcPts val="100"/>
            </a:spcBef>
          </a:pPr>
          <a:r>
            <a:rPr sz="1100" b="1" spc="-135">
              <a:solidFill>
                <a:srgbClr val="4689B3"/>
              </a:solidFill>
              <a:latin typeface="Tahoma"/>
              <a:cs typeface="Tahoma"/>
            </a:rPr>
            <a:t>ITA</a:t>
          </a:r>
          <a:r>
            <a:rPr sz="1100" b="1" spc="-5">
              <a:solidFill>
                <a:srgbClr val="4689B3"/>
              </a:solidFill>
              <a:latin typeface="Tahoma"/>
              <a:cs typeface="Tahoma"/>
            </a:rPr>
            <a:t> </a:t>
          </a:r>
          <a:r>
            <a:rPr sz="1100" b="1" spc="-60">
              <a:solidFill>
                <a:srgbClr val="4689B3"/>
              </a:solidFill>
              <a:latin typeface="Tahoma"/>
              <a:cs typeface="Tahoma"/>
            </a:rPr>
            <a:t>banks=</a:t>
          </a:r>
          <a:r>
            <a:rPr sz="1100" b="1" spc="10">
              <a:solidFill>
                <a:srgbClr val="4689B3"/>
              </a:solidFill>
              <a:latin typeface="Tahoma"/>
              <a:cs typeface="Tahoma"/>
            </a:rPr>
            <a:t> </a:t>
          </a:r>
          <a:r>
            <a:rPr sz="1100" b="1" spc="-200">
              <a:solidFill>
                <a:srgbClr val="4689B3"/>
              </a:solidFill>
              <a:latin typeface="Tahoma"/>
              <a:cs typeface="Tahoma"/>
            </a:rPr>
            <a:t>+</a:t>
          </a:r>
          <a:r>
            <a:rPr lang="it-IT" sz="1100" b="1" spc="-200">
              <a:solidFill>
                <a:srgbClr val="4689B3"/>
              </a:solidFill>
              <a:latin typeface="Tahoma"/>
              <a:cs typeface="Tahoma"/>
            </a:rPr>
            <a:t>  </a:t>
          </a:r>
          <a:r>
            <a:rPr sz="1100" b="1" spc="-200">
              <a:solidFill>
                <a:srgbClr val="4689B3"/>
              </a:solidFill>
              <a:latin typeface="Tahoma"/>
              <a:cs typeface="Tahoma"/>
            </a:rPr>
            <a:t>4</a:t>
          </a:r>
          <a:r>
            <a:rPr lang="it-IT" sz="1100" b="1" spc="-200">
              <a:solidFill>
                <a:srgbClr val="4689B3"/>
              </a:solidFill>
              <a:latin typeface="Tahoma"/>
              <a:cs typeface="Tahoma"/>
            </a:rPr>
            <a:t> </a:t>
          </a:r>
          <a:r>
            <a:rPr sz="1100" b="1" spc="-200">
              <a:solidFill>
                <a:srgbClr val="4689B3"/>
              </a:solidFill>
              <a:latin typeface="Tahoma"/>
              <a:cs typeface="Tahoma"/>
            </a:rPr>
            <a:t>0</a:t>
          </a:r>
          <a:r>
            <a:rPr lang="it-IT" sz="1100" b="1" spc="-200">
              <a:solidFill>
                <a:srgbClr val="4689B3"/>
              </a:solidFill>
              <a:latin typeface="Tahoma"/>
              <a:cs typeface="Tahoma"/>
            </a:rPr>
            <a:t> </a:t>
          </a:r>
          <a:r>
            <a:rPr sz="1100" b="1" spc="-200">
              <a:solidFill>
                <a:srgbClr val="4689B3"/>
              </a:solidFill>
              <a:latin typeface="Tahoma"/>
              <a:cs typeface="Tahoma"/>
            </a:rPr>
            <a:t>%</a:t>
          </a:r>
          <a:r>
            <a:rPr sz="1100" b="1">
              <a:solidFill>
                <a:srgbClr val="4689B3"/>
              </a:solidFill>
              <a:latin typeface="Tahoma"/>
              <a:cs typeface="Tahoma"/>
            </a:rPr>
            <a:t> </a:t>
          </a:r>
          <a:r>
            <a:rPr sz="1100" b="1" spc="-140">
              <a:solidFill>
                <a:srgbClr val="4689B3"/>
              </a:solidFill>
              <a:latin typeface="Tahoma"/>
              <a:cs typeface="Tahoma"/>
            </a:rPr>
            <a:t>/</a:t>
          </a:r>
          <a:r>
            <a:rPr sz="1100" b="1" spc="5">
              <a:solidFill>
                <a:srgbClr val="4689B3"/>
              </a:solidFill>
              <a:latin typeface="Tahoma"/>
              <a:cs typeface="Tahoma"/>
            </a:rPr>
            <a:t> </a:t>
          </a:r>
          <a:r>
            <a:rPr sz="1100" b="1" spc="-155">
              <a:solidFill>
                <a:srgbClr val="4689B3"/>
              </a:solidFill>
              <a:latin typeface="Tahoma"/>
              <a:cs typeface="Tahoma"/>
            </a:rPr>
            <a:t>T</a:t>
          </a:r>
          <a:r>
            <a:rPr lang="it-IT" sz="1100" b="1" spc="-155">
              <a:solidFill>
                <a:srgbClr val="4689B3"/>
              </a:solidFill>
              <a:latin typeface="Tahoma"/>
              <a:cs typeface="Tahoma"/>
            </a:rPr>
            <a:t> </a:t>
          </a:r>
          <a:r>
            <a:rPr sz="1100" b="1" spc="-155">
              <a:solidFill>
                <a:srgbClr val="4689B3"/>
              </a:solidFill>
              <a:latin typeface="Tahoma"/>
              <a:cs typeface="Tahoma"/>
            </a:rPr>
            <a:t>S</a:t>
          </a:r>
          <a:r>
            <a:rPr lang="it-IT" sz="1100" b="1" spc="-155">
              <a:solidFill>
                <a:srgbClr val="4689B3"/>
              </a:solidFill>
              <a:latin typeface="Tahoma"/>
              <a:cs typeface="Tahoma"/>
            </a:rPr>
            <a:t> </a:t>
          </a:r>
          <a:r>
            <a:rPr sz="1100" b="1" spc="-155">
              <a:solidFill>
                <a:srgbClr val="4689B3"/>
              </a:solidFill>
              <a:latin typeface="Tahoma"/>
              <a:cs typeface="Tahoma"/>
            </a:rPr>
            <a:t>R</a:t>
          </a:r>
          <a:r>
            <a:rPr lang="it-IT" sz="1100" b="1" spc="-155">
              <a:solidFill>
                <a:srgbClr val="4689B3"/>
              </a:solidFill>
              <a:latin typeface="Tahoma"/>
              <a:cs typeface="Tahoma"/>
            </a:rPr>
            <a:t> </a:t>
          </a:r>
          <a:r>
            <a:rPr sz="1100" b="1" spc="-155">
              <a:solidFill>
                <a:srgbClr val="4689B3"/>
              </a:solidFill>
              <a:latin typeface="Tahoma"/>
              <a:cs typeface="Tahoma"/>
            </a:rPr>
            <a:t>:</a:t>
          </a:r>
          <a:r>
            <a:rPr sz="1100" b="1" spc="-5">
              <a:solidFill>
                <a:srgbClr val="4689B3"/>
              </a:solidFill>
              <a:latin typeface="Tahoma"/>
              <a:cs typeface="Tahoma"/>
            </a:rPr>
            <a:t> </a:t>
          </a:r>
          <a:r>
            <a:rPr sz="1100" b="1" spc="-135">
              <a:solidFill>
                <a:srgbClr val="4689B3"/>
              </a:solidFill>
              <a:latin typeface="Tahoma"/>
              <a:cs typeface="Tahoma"/>
            </a:rPr>
            <a:t>4</a:t>
          </a:r>
          <a:r>
            <a:rPr lang="it-IT" sz="1100" b="1" spc="-135">
              <a:solidFill>
                <a:srgbClr val="4689B3"/>
              </a:solidFill>
              <a:latin typeface="Tahoma"/>
              <a:cs typeface="Tahoma"/>
            </a:rPr>
            <a:t> </a:t>
          </a:r>
          <a:r>
            <a:rPr sz="1100" b="1" spc="-135">
              <a:solidFill>
                <a:srgbClr val="4689B3"/>
              </a:solidFill>
              <a:latin typeface="Tahoma"/>
              <a:cs typeface="Tahoma"/>
            </a:rPr>
            <a:t>8</a:t>
          </a:r>
          <a:r>
            <a:rPr lang="it-IT" sz="1100" b="1" spc="-135">
              <a:solidFill>
                <a:srgbClr val="4689B3"/>
              </a:solidFill>
              <a:latin typeface="Tahoma"/>
              <a:cs typeface="Tahoma"/>
            </a:rPr>
            <a:t> </a:t>
          </a:r>
          <a:r>
            <a:rPr sz="1100" b="1" spc="-135">
              <a:solidFill>
                <a:srgbClr val="4689B3"/>
              </a:solidFill>
              <a:latin typeface="Tahoma"/>
              <a:cs typeface="Tahoma"/>
            </a:rPr>
            <a:t>%</a:t>
          </a:r>
          <a:endParaRPr sz="1100">
            <a:latin typeface="Tahoma"/>
            <a:cs typeface="Tahoma"/>
          </a:endParaRPr>
        </a:p>
      </xdr:txBody>
    </xdr:sp>
    <xdr:clientData/>
  </xdr:twoCellAnchor>
  <xdr:twoCellAnchor>
    <xdr:from>
      <xdr:col>9</xdr:col>
      <xdr:colOff>345847</xdr:colOff>
      <xdr:row>32</xdr:row>
      <xdr:rowOff>145162</xdr:rowOff>
    </xdr:from>
    <xdr:to>
      <xdr:col>20</xdr:col>
      <xdr:colOff>321717</xdr:colOff>
      <xdr:row>40</xdr:row>
      <xdr:rowOff>112142</xdr:rowOff>
    </xdr:to>
    <xdr:grpSp>
      <xdr:nvGrpSpPr>
        <xdr:cNvPr id="35" name="object 44">
          <a:extLst>
            <a:ext uri="{FF2B5EF4-FFF2-40B4-BE49-F238E27FC236}">
              <a16:creationId xmlns:a16="http://schemas.microsoft.com/office/drawing/2014/main" id="{00000000-0008-0000-0100-000023000000}"/>
            </a:ext>
          </a:extLst>
        </xdr:cNvPr>
        <xdr:cNvGrpSpPr/>
      </xdr:nvGrpSpPr>
      <xdr:grpSpPr>
        <a:xfrm>
          <a:off x="6675363" y="6925323"/>
          <a:ext cx="7452483" cy="1441819"/>
          <a:chOff x="868680" y="4073652"/>
          <a:chExt cx="7519670" cy="1592580"/>
        </a:xfrm>
      </xdr:grpSpPr>
      <xdr:sp macro="" textlink="">
        <xdr:nvSpPr>
          <xdr:cNvPr id="36" name="object 45">
            <a:extLst>
              <a:ext uri="{FF2B5EF4-FFF2-40B4-BE49-F238E27FC236}">
                <a16:creationId xmlns:a16="http://schemas.microsoft.com/office/drawing/2014/main" id="{00000000-0008-0000-0100-000024000000}"/>
              </a:ext>
            </a:extLst>
          </xdr:cNvPr>
          <xdr:cNvSpPr/>
        </xdr:nvSpPr>
        <xdr:spPr>
          <a:xfrm>
            <a:off x="868680" y="4073652"/>
            <a:ext cx="7519670" cy="1592580"/>
          </a:xfrm>
          <a:custGeom>
            <a:avLst/>
            <a:gdLst/>
            <a:ahLst/>
            <a:cxnLst/>
            <a:rect l="l" t="t" r="r" b="b"/>
            <a:pathLst>
              <a:path w="7519670" h="1592579">
                <a:moveTo>
                  <a:pt x="41147" y="1552956"/>
                </a:moveTo>
                <a:lnTo>
                  <a:pt x="41147" y="0"/>
                </a:lnTo>
              </a:path>
              <a:path w="7519670" h="1592579">
                <a:moveTo>
                  <a:pt x="0" y="1552956"/>
                </a:moveTo>
                <a:lnTo>
                  <a:pt x="41147" y="1552956"/>
                </a:lnTo>
              </a:path>
              <a:path w="7519670" h="1592579">
                <a:moveTo>
                  <a:pt x="0" y="1330452"/>
                </a:moveTo>
                <a:lnTo>
                  <a:pt x="41147" y="1330452"/>
                </a:lnTo>
              </a:path>
              <a:path w="7519670" h="1592579">
                <a:moveTo>
                  <a:pt x="0" y="1109472"/>
                </a:moveTo>
                <a:lnTo>
                  <a:pt x="41147" y="1109472"/>
                </a:lnTo>
              </a:path>
              <a:path w="7519670" h="1592579">
                <a:moveTo>
                  <a:pt x="0" y="886968"/>
                </a:moveTo>
                <a:lnTo>
                  <a:pt x="41147" y="886968"/>
                </a:lnTo>
              </a:path>
              <a:path w="7519670" h="1592579">
                <a:moveTo>
                  <a:pt x="0" y="665988"/>
                </a:moveTo>
                <a:lnTo>
                  <a:pt x="41147" y="665988"/>
                </a:lnTo>
              </a:path>
              <a:path w="7519670" h="1592579">
                <a:moveTo>
                  <a:pt x="0" y="443484"/>
                </a:moveTo>
                <a:lnTo>
                  <a:pt x="41147" y="443484"/>
                </a:lnTo>
              </a:path>
              <a:path w="7519670" h="1592579">
                <a:moveTo>
                  <a:pt x="0" y="222504"/>
                </a:moveTo>
                <a:lnTo>
                  <a:pt x="41147" y="222504"/>
                </a:lnTo>
              </a:path>
              <a:path w="7519670" h="1592579">
                <a:moveTo>
                  <a:pt x="0" y="0"/>
                </a:moveTo>
                <a:lnTo>
                  <a:pt x="41147" y="0"/>
                </a:lnTo>
              </a:path>
              <a:path w="7519670" h="1592579">
                <a:moveTo>
                  <a:pt x="41147" y="1552956"/>
                </a:moveTo>
                <a:lnTo>
                  <a:pt x="7519416" y="1552956"/>
                </a:lnTo>
              </a:path>
              <a:path w="7519670" h="1592579">
                <a:moveTo>
                  <a:pt x="41147" y="1552956"/>
                </a:moveTo>
                <a:lnTo>
                  <a:pt x="41147" y="1592580"/>
                </a:lnTo>
              </a:path>
              <a:path w="7519670" h="1592579">
                <a:moveTo>
                  <a:pt x="1022603" y="1552956"/>
                </a:moveTo>
                <a:lnTo>
                  <a:pt x="1022603" y="1592580"/>
                </a:lnTo>
              </a:path>
              <a:path w="7519670" h="1592579">
                <a:moveTo>
                  <a:pt x="1941576" y="1552956"/>
                </a:moveTo>
                <a:lnTo>
                  <a:pt x="1941576" y="1592580"/>
                </a:lnTo>
              </a:path>
              <a:path w="7519670" h="1592579">
                <a:moveTo>
                  <a:pt x="2924556" y="1552956"/>
                </a:moveTo>
                <a:lnTo>
                  <a:pt x="2924556" y="1592580"/>
                </a:lnTo>
              </a:path>
              <a:path w="7519670" h="1592579">
                <a:moveTo>
                  <a:pt x="3875531" y="1552956"/>
                </a:moveTo>
                <a:lnTo>
                  <a:pt x="3875531" y="1592580"/>
                </a:lnTo>
              </a:path>
              <a:path w="7519670" h="1592579">
                <a:moveTo>
                  <a:pt x="4856987" y="1552956"/>
                </a:moveTo>
                <a:lnTo>
                  <a:pt x="4856987" y="1592580"/>
                </a:lnTo>
              </a:path>
              <a:path w="7519670" h="1592579">
                <a:moveTo>
                  <a:pt x="5807964" y="1552956"/>
                </a:moveTo>
                <a:lnTo>
                  <a:pt x="5807964" y="1592580"/>
                </a:lnTo>
              </a:path>
              <a:path w="7519670" h="1592579">
                <a:moveTo>
                  <a:pt x="6790944" y="1552956"/>
                </a:moveTo>
                <a:lnTo>
                  <a:pt x="6790944" y="1592580"/>
                </a:lnTo>
              </a:path>
            </a:pathLst>
          </a:custGeom>
          <a:ln w="9525">
            <a:solidFill>
              <a:srgbClr val="858A9C"/>
            </a:solidFill>
          </a:ln>
        </xdr:spPr>
        <xdr:txBody>
          <a:bodyPr wrap="square" lIns="0" tIns="0" rIns="0" bIns="0" rtlCol="0"/>
          <a:lstStyle>
            <a:defPPr>
              <a:defRPr kern="0"/>
            </a:defPPr>
          </a:lstStyle>
          <a:p>
            <a:endParaRPr/>
          </a:p>
        </xdr:txBody>
      </xdr:sp>
      <xdr:sp macro="" textlink="">
        <xdr:nvSpPr>
          <xdr:cNvPr id="37" name="object 46">
            <a:extLst>
              <a:ext uri="{FF2B5EF4-FFF2-40B4-BE49-F238E27FC236}">
                <a16:creationId xmlns:a16="http://schemas.microsoft.com/office/drawing/2014/main" id="{00000000-0008-0000-0100-000025000000}"/>
              </a:ext>
            </a:extLst>
          </xdr:cNvPr>
          <xdr:cNvSpPr/>
        </xdr:nvSpPr>
        <xdr:spPr>
          <a:xfrm>
            <a:off x="925830" y="4463034"/>
            <a:ext cx="7446645" cy="916305"/>
          </a:xfrm>
          <a:custGeom>
            <a:avLst/>
            <a:gdLst/>
            <a:ahLst/>
            <a:cxnLst/>
            <a:rect l="l" t="t" r="r" b="b"/>
            <a:pathLst>
              <a:path w="7446645" h="916304">
                <a:moveTo>
                  <a:pt x="0" y="896112"/>
                </a:moveTo>
                <a:lnTo>
                  <a:pt x="32003" y="896112"/>
                </a:lnTo>
                <a:lnTo>
                  <a:pt x="62483" y="915924"/>
                </a:lnTo>
                <a:lnTo>
                  <a:pt x="94487" y="888492"/>
                </a:lnTo>
                <a:lnTo>
                  <a:pt x="126491" y="870204"/>
                </a:lnTo>
                <a:lnTo>
                  <a:pt x="158495" y="870204"/>
                </a:lnTo>
                <a:lnTo>
                  <a:pt x="190500" y="870204"/>
                </a:lnTo>
                <a:lnTo>
                  <a:pt x="220979" y="864108"/>
                </a:lnTo>
                <a:lnTo>
                  <a:pt x="252983" y="877824"/>
                </a:lnTo>
                <a:lnTo>
                  <a:pt x="284988" y="888492"/>
                </a:lnTo>
                <a:lnTo>
                  <a:pt x="316991" y="896112"/>
                </a:lnTo>
                <a:lnTo>
                  <a:pt x="347472" y="879348"/>
                </a:lnTo>
                <a:lnTo>
                  <a:pt x="379475" y="879348"/>
                </a:lnTo>
                <a:lnTo>
                  <a:pt x="411479" y="879348"/>
                </a:lnTo>
                <a:lnTo>
                  <a:pt x="443483" y="880872"/>
                </a:lnTo>
                <a:lnTo>
                  <a:pt x="475488" y="821436"/>
                </a:lnTo>
                <a:lnTo>
                  <a:pt x="505967" y="755904"/>
                </a:lnTo>
                <a:lnTo>
                  <a:pt x="537972" y="737616"/>
                </a:lnTo>
                <a:lnTo>
                  <a:pt x="569976" y="716280"/>
                </a:lnTo>
                <a:lnTo>
                  <a:pt x="601979" y="716280"/>
                </a:lnTo>
                <a:lnTo>
                  <a:pt x="633983" y="716280"/>
                </a:lnTo>
                <a:lnTo>
                  <a:pt x="664463" y="723900"/>
                </a:lnTo>
                <a:lnTo>
                  <a:pt x="696467" y="733044"/>
                </a:lnTo>
                <a:lnTo>
                  <a:pt x="728471" y="699516"/>
                </a:lnTo>
                <a:lnTo>
                  <a:pt x="760476" y="704088"/>
                </a:lnTo>
                <a:lnTo>
                  <a:pt x="792480" y="694944"/>
                </a:lnTo>
                <a:lnTo>
                  <a:pt x="822959" y="694944"/>
                </a:lnTo>
                <a:lnTo>
                  <a:pt x="854963" y="694944"/>
                </a:lnTo>
                <a:lnTo>
                  <a:pt x="886968" y="691896"/>
                </a:lnTo>
                <a:lnTo>
                  <a:pt x="918971" y="659892"/>
                </a:lnTo>
                <a:lnTo>
                  <a:pt x="950976" y="652272"/>
                </a:lnTo>
                <a:lnTo>
                  <a:pt x="981456" y="701040"/>
                </a:lnTo>
                <a:lnTo>
                  <a:pt x="1013459" y="685800"/>
                </a:lnTo>
                <a:lnTo>
                  <a:pt x="1045463" y="685800"/>
                </a:lnTo>
                <a:lnTo>
                  <a:pt x="1077468" y="685800"/>
                </a:lnTo>
                <a:lnTo>
                  <a:pt x="1107947" y="701040"/>
                </a:lnTo>
                <a:lnTo>
                  <a:pt x="1139952" y="725424"/>
                </a:lnTo>
                <a:lnTo>
                  <a:pt x="1171956" y="742188"/>
                </a:lnTo>
                <a:lnTo>
                  <a:pt x="1203959" y="754380"/>
                </a:lnTo>
                <a:lnTo>
                  <a:pt x="1235964" y="800100"/>
                </a:lnTo>
                <a:lnTo>
                  <a:pt x="1266444" y="800100"/>
                </a:lnTo>
                <a:lnTo>
                  <a:pt x="1298447" y="800100"/>
                </a:lnTo>
                <a:lnTo>
                  <a:pt x="1330452" y="810768"/>
                </a:lnTo>
                <a:lnTo>
                  <a:pt x="1362456" y="827532"/>
                </a:lnTo>
                <a:lnTo>
                  <a:pt x="1394459" y="833628"/>
                </a:lnTo>
                <a:lnTo>
                  <a:pt x="1424939" y="794004"/>
                </a:lnTo>
                <a:lnTo>
                  <a:pt x="1456944" y="786384"/>
                </a:lnTo>
                <a:lnTo>
                  <a:pt x="1488947" y="786384"/>
                </a:lnTo>
                <a:lnTo>
                  <a:pt x="1520952" y="786384"/>
                </a:lnTo>
                <a:lnTo>
                  <a:pt x="1552956" y="768096"/>
                </a:lnTo>
                <a:lnTo>
                  <a:pt x="1583436" y="752856"/>
                </a:lnTo>
                <a:lnTo>
                  <a:pt x="1615439" y="641604"/>
                </a:lnTo>
                <a:lnTo>
                  <a:pt x="1647444" y="652272"/>
                </a:lnTo>
                <a:lnTo>
                  <a:pt x="1679447" y="510540"/>
                </a:lnTo>
                <a:lnTo>
                  <a:pt x="1711452" y="510540"/>
                </a:lnTo>
                <a:lnTo>
                  <a:pt x="1741932" y="510540"/>
                </a:lnTo>
                <a:lnTo>
                  <a:pt x="1773936" y="541020"/>
                </a:lnTo>
                <a:lnTo>
                  <a:pt x="1805939" y="563880"/>
                </a:lnTo>
                <a:lnTo>
                  <a:pt x="1837944" y="582168"/>
                </a:lnTo>
                <a:lnTo>
                  <a:pt x="1869947" y="586740"/>
                </a:lnTo>
                <a:lnTo>
                  <a:pt x="1900427" y="583692"/>
                </a:lnTo>
                <a:lnTo>
                  <a:pt x="1932432" y="583692"/>
                </a:lnTo>
                <a:lnTo>
                  <a:pt x="1964436" y="583692"/>
                </a:lnTo>
                <a:lnTo>
                  <a:pt x="1996439" y="591312"/>
                </a:lnTo>
                <a:lnTo>
                  <a:pt x="2026920" y="566928"/>
                </a:lnTo>
                <a:lnTo>
                  <a:pt x="2058924" y="530352"/>
                </a:lnTo>
                <a:lnTo>
                  <a:pt x="2090927" y="542544"/>
                </a:lnTo>
                <a:lnTo>
                  <a:pt x="2122932" y="542544"/>
                </a:lnTo>
                <a:lnTo>
                  <a:pt x="2154936" y="542544"/>
                </a:lnTo>
                <a:lnTo>
                  <a:pt x="2185416" y="542544"/>
                </a:lnTo>
                <a:lnTo>
                  <a:pt x="2217420" y="539496"/>
                </a:lnTo>
                <a:lnTo>
                  <a:pt x="2249424" y="510540"/>
                </a:lnTo>
                <a:lnTo>
                  <a:pt x="2281428" y="498348"/>
                </a:lnTo>
                <a:lnTo>
                  <a:pt x="2313432" y="516636"/>
                </a:lnTo>
                <a:lnTo>
                  <a:pt x="2343911" y="475488"/>
                </a:lnTo>
                <a:lnTo>
                  <a:pt x="2375916" y="475488"/>
                </a:lnTo>
                <a:lnTo>
                  <a:pt x="2407920" y="475488"/>
                </a:lnTo>
                <a:lnTo>
                  <a:pt x="2439923" y="475488"/>
                </a:lnTo>
                <a:lnTo>
                  <a:pt x="2471928" y="437388"/>
                </a:lnTo>
                <a:lnTo>
                  <a:pt x="2502408" y="440436"/>
                </a:lnTo>
                <a:lnTo>
                  <a:pt x="2534411" y="426720"/>
                </a:lnTo>
                <a:lnTo>
                  <a:pt x="2566416" y="408432"/>
                </a:lnTo>
                <a:lnTo>
                  <a:pt x="2598420" y="408432"/>
                </a:lnTo>
                <a:lnTo>
                  <a:pt x="2630423" y="408432"/>
                </a:lnTo>
                <a:lnTo>
                  <a:pt x="2660904" y="371856"/>
                </a:lnTo>
                <a:lnTo>
                  <a:pt x="2692908" y="359664"/>
                </a:lnTo>
                <a:lnTo>
                  <a:pt x="2724911" y="323088"/>
                </a:lnTo>
                <a:lnTo>
                  <a:pt x="2756916" y="318516"/>
                </a:lnTo>
                <a:lnTo>
                  <a:pt x="2787396" y="318516"/>
                </a:lnTo>
                <a:lnTo>
                  <a:pt x="2819399" y="318516"/>
                </a:lnTo>
                <a:lnTo>
                  <a:pt x="2851404" y="318516"/>
                </a:lnTo>
                <a:lnTo>
                  <a:pt x="2883408" y="318516"/>
                </a:lnTo>
                <a:lnTo>
                  <a:pt x="2915411" y="347472"/>
                </a:lnTo>
                <a:lnTo>
                  <a:pt x="2945892" y="315468"/>
                </a:lnTo>
                <a:lnTo>
                  <a:pt x="2977896" y="318516"/>
                </a:lnTo>
                <a:lnTo>
                  <a:pt x="3009899" y="342900"/>
                </a:lnTo>
                <a:lnTo>
                  <a:pt x="3041904" y="342900"/>
                </a:lnTo>
                <a:lnTo>
                  <a:pt x="3073908" y="342900"/>
                </a:lnTo>
                <a:lnTo>
                  <a:pt x="3104387" y="341376"/>
                </a:lnTo>
                <a:lnTo>
                  <a:pt x="3136392" y="364236"/>
                </a:lnTo>
                <a:lnTo>
                  <a:pt x="3168396" y="353568"/>
                </a:lnTo>
                <a:lnTo>
                  <a:pt x="3200399" y="371856"/>
                </a:lnTo>
                <a:lnTo>
                  <a:pt x="3232404" y="370332"/>
                </a:lnTo>
                <a:lnTo>
                  <a:pt x="3262883" y="370332"/>
                </a:lnTo>
                <a:lnTo>
                  <a:pt x="3294887" y="370332"/>
                </a:lnTo>
                <a:lnTo>
                  <a:pt x="3326892" y="347472"/>
                </a:lnTo>
                <a:lnTo>
                  <a:pt x="3358896" y="409956"/>
                </a:lnTo>
                <a:lnTo>
                  <a:pt x="3390900" y="399288"/>
                </a:lnTo>
                <a:lnTo>
                  <a:pt x="3421379" y="368808"/>
                </a:lnTo>
                <a:lnTo>
                  <a:pt x="3453383" y="388620"/>
                </a:lnTo>
                <a:lnTo>
                  <a:pt x="3485387" y="388620"/>
                </a:lnTo>
                <a:lnTo>
                  <a:pt x="3517392" y="388620"/>
                </a:lnTo>
                <a:lnTo>
                  <a:pt x="3549396" y="361188"/>
                </a:lnTo>
                <a:lnTo>
                  <a:pt x="3579876" y="341376"/>
                </a:lnTo>
                <a:lnTo>
                  <a:pt x="3611879" y="355092"/>
                </a:lnTo>
                <a:lnTo>
                  <a:pt x="3643883" y="408432"/>
                </a:lnTo>
                <a:lnTo>
                  <a:pt x="3675887" y="408432"/>
                </a:lnTo>
                <a:lnTo>
                  <a:pt x="3706368" y="408432"/>
                </a:lnTo>
                <a:lnTo>
                  <a:pt x="3738372" y="408432"/>
                </a:lnTo>
                <a:lnTo>
                  <a:pt x="3770376" y="397764"/>
                </a:lnTo>
                <a:lnTo>
                  <a:pt x="3802379" y="420624"/>
                </a:lnTo>
                <a:lnTo>
                  <a:pt x="3834383" y="420624"/>
                </a:lnTo>
                <a:lnTo>
                  <a:pt x="3864864" y="420624"/>
                </a:lnTo>
                <a:lnTo>
                  <a:pt x="3896868" y="391668"/>
                </a:lnTo>
                <a:lnTo>
                  <a:pt x="3928872" y="391668"/>
                </a:lnTo>
                <a:lnTo>
                  <a:pt x="3960876" y="391668"/>
                </a:lnTo>
                <a:lnTo>
                  <a:pt x="3992879" y="347472"/>
                </a:lnTo>
                <a:lnTo>
                  <a:pt x="4023359" y="281940"/>
                </a:lnTo>
                <a:lnTo>
                  <a:pt x="4055364" y="275844"/>
                </a:lnTo>
                <a:lnTo>
                  <a:pt x="4087368" y="251460"/>
                </a:lnTo>
                <a:lnTo>
                  <a:pt x="4119372" y="176784"/>
                </a:lnTo>
                <a:lnTo>
                  <a:pt x="4151376" y="176784"/>
                </a:lnTo>
                <a:lnTo>
                  <a:pt x="4181855" y="176784"/>
                </a:lnTo>
                <a:lnTo>
                  <a:pt x="4213859" y="140208"/>
                </a:lnTo>
                <a:lnTo>
                  <a:pt x="4245864" y="70104"/>
                </a:lnTo>
                <a:lnTo>
                  <a:pt x="4277868" y="10668"/>
                </a:lnTo>
                <a:lnTo>
                  <a:pt x="4309872" y="13716"/>
                </a:lnTo>
                <a:lnTo>
                  <a:pt x="4340352" y="0"/>
                </a:lnTo>
                <a:lnTo>
                  <a:pt x="4372356" y="0"/>
                </a:lnTo>
                <a:lnTo>
                  <a:pt x="4404359" y="0"/>
                </a:lnTo>
                <a:lnTo>
                  <a:pt x="4436364" y="91440"/>
                </a:lnTo>
                <a:lnTo>
                  <a:pt x="4468368" y="137160"/>
                </a:lnTo>
                <a:lnTo>
                  <a:pt x="4498848" y="147828"/>
                </a:lnTo>
                <a:lnTo>
                  <a:pt x="4530852" y="143256"/>
                </a:lnTo>
                <a:lnTo>
                  <a:pt x="4562856" y="135636"/>
                </a:lnTo>
                <a:lnTo>
                  <a:pt x="4594859" y="135636"/>
                </a:lnTo>
                <a:lnTo>
                  <a:pt x="4625340" y="135636"/>
                </a:lnTo>
                <a:lnTo>
                  <a:pt x="4657344" y="128016"/>
                </a:lnTo>
                <a:lnTo>
                  <a:pt x="4689348" y="153924"/>
                </a:lnTo>
                <a:lnTo>
                  <a:pt x="4721352" y="175260"/>
                </a:lnTo>
                <a:lnTo>
                  <a:pt x="4753356" y="164592"/>
                </a:lnTo>
                <a:lnTo>
                  <a:pt x="4783835" y="160020"/>
                </a:lnTo>
                <a:lnTo>
                  <a:pt x="4815840" y="160020"/>
                </a:lnTo>
                <a:lnTo>
                  <a:pt x="4847844" y="160020"/>
                </a:lnTo>
                <a:lnTo>
                  <a:pt x="4879848" y="137160"/>
                </a:lnTo>
                <a:lnTo>
                  <a:pt x="4911852" y="182880"/>
                </a:lnTo>
                <a:lnTo>
                  <a:pt x="4942332" y="202692"/>
                </a:lnTo>
                <a:lnTo>
                  <a:pt x="4974335" y="193548"/>
                </a:lnTo>
                <a:lnTo>
                  <a:pt x="5006340" y="199644"/>
                </a:lnTo>
                <a:lnTo>
                  <a:pt x="5038344" y="199644"/>
                </a:lnTo>
                <a:lnTo>
                  <a:pt x="5070348" y="199644"/>
                </a:lnTo>
                <a:lnTo>
                  <a:pt x="5100828" y="236220"/>
                </a:lnTo>
                <a:lnTo>
                  <a:pt x="5132832" y="269748"/>
                </a:lnTo>
                <a:lnTo>
                  <a:pt x="5164835" y="201168"/>
                </a:lnTo>
                <a:lnTo>
                  <a:pt x="5196840" y="312420"/>
                </a:lnTo>
                <a:lnTo>
                  <a:pt x="5228844" y="381000"/>
                </a:lnTo>
                <a:lnTo>
                  <a:pt x="5259324" y="381000"/>
                </a:lnTo>
                <a:lnTo>
                  <a:pt x="5291328" y="381000"/>
                </a:lnTo>
                <a:lnTo>
                  <a:pt x="5323332" y="359664"/>
                </a:lnTo>
                <a:lnTo>
                  <a:pt x="5355335" y="344424"/>
                </a:lnTo>
                <a:lnTo>
                  <a:pt x="5385816" y="367284"/>
                </a:lnTo>
                <a:lnTo>
                  <a:pt x="5417820" y="318516"/>
                </a:lnTo>
                <a:lnTo>
                  <a:pt x="5449824" y="359664"/>
                </a:lnTo>
                <a:lnTo>
                  <a:pt x="5481828" y="359664"/>
                </a:lnTo>
                <a:lnTo>
                  <a:pt x="5513832" y="359664"/>
                </a:lnTo>
                <a:lnTo>
                  <a:pt x="5544311" y="291084"/>
                </a:lnTo>
                <a:lnTo>
                  <a:pt x="5576316" y="304800"/>
                </a:lnTo>
                <a:lnTo>
                  <a:pt x="5608320" y="326136"/>
                </a:lnTo>
                <a:lnTo>
                  <a:pt x="5640324" y="353568"/>
                </a:lnTo>
                <a:lnTo>
                  <a:pt x="5672328" y="344424"/>
                </a:lnTo>
                <a:lnTo>
                  <a:pt x="5702808" y="344424"/>
                </a:lnTo>
                <a:lnTo>
                  <a:pt x="5734812" y="344424"/>
                </a:lnTo>
                <a:lnTo>
                  <a:pt x="5766816" y="256032"/>
                </a:lnTo>
                <a:lnTo>
                  <a:pt x="5798820" y="294132"/>
                </a:lnTo>
                <a:lnTo>
                  <a:pt x="5830824" y="262128"/>
                </a:lnTo>
                <a:lnTo>
                  <a:pt x="5861304" y="242316"/>
                </a:lnTo>
                <a:lnTo>
                  <a:pt x="5893308" y="254508"/>
                </a:lnTo>
                <a:lnTo>
                  <a:pt x="5925312" y="254508"/>
                </a:lnTo>
                <a:lnTo>
                  <a:pt x="5957316" y="254508"/>
                </a:lnTo>
                <a:lnTo>
                  <a:pt x="5989320" y="233172"/>
                </a:lnTo>
                <a:lnTo>
                  <a:pt x="6019800" y="239268"/>
                </a:lnTo>
                <a:lnTo>
                  <a:pt x="6051804" y="198120"/>
                </a:lnTo>
                <a:lnTo>
                  <a:pt x="6083808" y="190500"/>
                </a:lnTo>
                <a:lnTo>
                  <a:pt x="6115812" y="213360"/>
                </a:lnTo>
                <a:lnTo>
                  <a:pt x="6147816" y="213360"/>
                </a:lnTo>
                <a:lnTo>
                  <a:pt x="6178296" y="213360"/>
                </a:lnTo>
                <a:lnTo>
                  <a:pt x="6210300" y="211836"/>
                </a:lnTo>
                <a:lnTo>
                  <a:pt x="6242304" y="184404"/>
                </a:lnTo>
                <a:lnTo>
                  <a:pt x="6274308" y="188976"/>
                </a:lnTo>
                <a:lnTo>
                  <a:pt x="6304788" y="179832"/>
                </a:lnTo>
                <a:lnTo>
                  <a:pt x="6336792" y="201168"/>
                </a:lnTo>
                <a:lnTo>
                  <a:pt x="6368796" y="201168"/>
                </a:lnTo>
                <a:lnTo>
                  <a:pt x="6400800" y="201168"/>
                </a:lnTo>
                <a:lnTo>
                  <a:pt x="6432804" y="164592"/>
                </a:lnTo>
                <a:lnTo>
                  <a:pt x="6463284" y="111252"/>
                </a:lnTo>
                <a:lnTo>
                  <a:pt x="6495288" y="103632"/>
                </a:lnTo>
                <a:lnTo>
                  <a:pt x="6527292" y="111252"/>
                </a:lnTo>
                <a:lnTo>
                  <a:pt x="6559296" y="85344"/>
                </a:lnTo>
                <a:lnTo>
                  <a:pt x="6591300" y="85344"/>
                </a:lnTo>
                <a:lnTo>
                  <a:pt x="6621780" y="85344"/>
                </a:lnTo>
                <a:lnTo>
                  <a:pt x="6653784" y="111252"/>
                </a:lnTo>
                <a:lnTo>
                  <a:pt x="6685788" y="54864"/>
                </a:lnTo>
                <a:lnTo>
                  <a:pt x="6717792" y="54864"/>
                </a:lnTo>
                <a:lnTo>
                  <a:pt x="6749796" y="193548"/>
                </a:lnTo>
                <a:lnTo>
                  <a:pt x="6780276" y="263652"/>
                </a:lnTo>
                <a:lnTo>
                  <a:pt x="6812280" y="263652"/>
                </a:lnTo>
                <a:lnTo>
                  <a:pt x="6844284" y="263652"/>
                </a:lnTo>
                <a:lnTo>
                  <a:pt x="6876288" y="318516"/>
                </a:lnTo>
                <a:lnTo>
                  <a:pt x="6908292" y="338328"/>
                </a:lnTo>
                <a:lnTo>
                  <a:pt x="6938772" y="266700"/>
                </a:lnTo>
                <a:lnTo>
                  <a:pt x="6970776" y="298704"/>
                </a:lnTo>
                <a:lnTo>
                  <a:pt x="7002780" y="297180"/>
                </a:lnTo>
                <a:lnTo>
                  <a:pt x="7034784" y="297180"/>
                </a:lnTo>
                <a:lnTo>
                  <a:pt x="7065264" y="297180"/>
                </a:lnTo>
                <a:lnTo>
                  <a:pt x="7097268" y="269748"/>
                </a:lnTo>
                <a:lnTo>
                  <a:pt x="7129272" y="278892"/>
                </a:lnTo>
                <a:lnTo>
                  <a:pt x="7161276" y="257556"/>
                </a:lnTo>
                <a:lnTo>
                  <a:pt x="7193280" y="257556"/>
                </a:lnTo>
                <a:lnTo>
                  <a:pt x="7223760" y="123444"/>
                </a:lnTo>
                <a:lnTo>
                  <a:pt x="7255764" y="123444"/>
                </a:lnTo>
                <a:lnTo>
                  <a:pt x="7287768" y="123444"/>
                </a:lnTo>
                <a:lnTo>
                  <a:pt x="7319772" y="103632"/>
                </a:lnTo>
                <a:lnTo>
                  <a:pt x="7351776" y="108204"/>
                </a:lnTo>
                <a:lnTo>
                  <a:pt x="7382256" y="80772"/>
                </a:lnTo>
                <a:lnTo>
                  <a:pt x="7414260" y="77724"/>
                </a:lnTo>
                <a:lnTo>
                  <a:pt x="7446264" y="50292"/>
                </a:lnTo>
              </a:path>
            </a:pathLst>
          </a:custGeom>
          <a:ln w="19050">
            <a:solidFill>
              <a:srgbClr val="003366"/>
            </a:solidFill>
          </a:ln>
        </xdr:spPr>
        <xdr:txBody>
          <a:bodyPr wrap="square" lIns="0" tIns="0" rIns="0" bIns="0" rtlCol="0"/>
          <a:lstStyle>
            <a:defPPr>
              <a:defRPr kern="0"/>
            </a:defPPr>
          </a:lstStyle>
          <a:p>
            <a:endParaRPr/>
          </a:p>
        </xdr:txBody>
      </xdr:sp>
      <xdr:sp macro="" textlink="">
        <xdr:nvSpPr>
          <xdr:cNvPr id="38" name="object 47">
            <a:extLst>
              <a:ext uri="{FF2B5EF4-FFF2-40B4-BE49-F238E27FC236}">
                <a16:creationId xmlns:a16="http://schemas.microsoft.com/office/drawing/2014/main" id="{00000000-0008-0000-0100-000026000000}"/>
              </a:ext>
            </a:extLst>
          </xdr:cNvPr>
          <xdr:cNvSpPr/>
        </xdr:nvSpPr>
        <xdr:spPr>
          <a:xfrm>
            <a:off x="925830" y="4706874"/>
            <a:ext cx="7446645" cy="680085"/>
          </a:xfrm>
          <a:custGeom>
            <a:avLst/>
            <a:gdLst/>
            <a:ahLst/>
            <a:cxnLst/>
            <a:rect l="l" t="t" r="r" b="b"/>
            <a:pathLst>
              <a:path w="7446645" h="680085">
                <a:moveTo>
                  <a:pt x="0" y="652272"/>
                </a:moveTo>
                <a:lnTo>
                  <a:pt x="32003" y="611123"/>
                </a:lnTo>
                <a:lnTo>
                  <a:pt x="62483" y="638556"/>
                </a:lnTo>
                <a:lnTo>
                  <a:pt x="94487" y="588263"/>
                </a:lnTo>
                <a:lnTo>
                  <a:pt x="126491" y="569976"/>
                </a:lnTo>
                <a:lnTo>
                  <a:pt x="158495" y="569976"/>
                </a:lnTo>
                <a:lnTo>
                  <a:pt x="190500" y="569976"/>
                </a:lnTo>
                <a:lnTo>
                  <a:pt x="220979" y="562356"/>
                </a:lnTo>
                <a:lnTo>
                  <a:pt x="252983" y="592835"/>
                </a:lnTo>
                <a:lnTo>
                  <a:pt x="284988" y="603504"/>
                </a:lnTo>
                <a:lnTo>
                  <a:pt x="316991" y="644651"/>
                </a:lnTo>
                <a:lnTo>
                  <a:pt x="347472" y="641604"/>
                </a:lnTo>
                <a:lnTo>
                  <a:pt x="379475" y="641604"/>
                </a:lnTo>
                <a:lnTo>
                  <a:pt x="411479" y="641604"/>
                </a:lnTo>
                <a:lnTo>
                  <a:pt x="443483" y="644651"/>
                </a:lnTo>
                <a:lnTo>
                  <a:pt x="475488" y="665988"/>
                </a:lnTo>
                <a:lnTo>
                  <a:pt x="505967" y="679704"/>
                </a:lnTo>
                <a:lnTo>
                  <a:pt x="537972" y="659891"/>
                </a:lnTo>
                <a:lnTo>
                  <a:pt x="569976" y="661416"/>
                </a:lnTo>
                <a:lnTo>
                  <a:pt x="601979" y="661416"/>
                </a:lnTo>
                <a:lnTo>
                  <a:pt x="633983" y="661416"/>
                </a:lnTo>
                <a:lnTo>
                  <a:pt x="664463" y="638556"/>
                </a:lnTo>
                <a:lnTo>
                  <a:pt x="696467" y="647700"/>
                </a:lnTo>
                <a:lnTo>
                  <a:pt x="728471" y="611123"/>
                </a:lnTo>
                <a:lnTo>
                  <a:pt x="760476" y="635507"/>
                </a:lnTo>
                <a:lnTo>
                  <a:pt x="792480" y="620267"/>
                </a:lnTo>
                <a:lnTo>
                  <a:pt x="822959" y="620267"/>
                </a:lnTo>
                <a:lnTo>
                  <a:pt x="854963" y="620267"/>
                </a:lnTo>
                <a:lnTo>
                  <a:pt x="886968" y="638556"/>
                </a:lnTo>
                <a:lnTo>
                  <a:pt x="918971" y="594360"/>
                </a:lnTo>
                <a:lnTo>
                  <a:pt x="950976" y="586739"/>
                </a:lnTo>
                <a:lnTo>
                  <a:pt x="981456" y="655319"/>
                </a:lnTo>
                <a:lnTo>
                  <a:pt x="1013459" y="630935"/>
                </a:lnTo>
                <a:lnTo>
                  <a:pt x="1045463" y="630935"/>
                </a:lnTo>
                <a:lnTo>
                  <a:pt x="1077468" y="630935"/>
                </a:lnTo>
                <a:lnTo>
                  <a:pt x="1107947" y="641604"/>
                </a:lnTo>
                <a:lnTo>
                  <a:pt x="1139952" y="635507"/>
                </a:lnTo>
                <a:lnTo>
                  <a:pt x="1171956" y="672084"/>
                </a:lnTo>
                <a:lnTo>
                  <a:pt x="1203959" y="673607"/>
                </a:lnTo>
                <a:lnTo>
                  <a:pt x="1235964" y="675132"/>
                </a:lnTo>
                <a:lnTo>
                  <a:pt x="1266444" y="675132"/>
                </a:lnTo>
                <a:lnTo>
                  <a:pt x="1298447" y="675132"/>
                </a:lnTo>
                <a:lnTo>
                  <a:pt x="1330452" y="640079"/>
                </a:lnTo>
                <a:lnTo>
                  <a:pt x="1362456" y="649223"/>
                </a:lnTo>
                <a:lnTo>
                  <a:pt x="1394459" y="643128"/>
                </a:lnTo>
                <a:lnTo>
                  <a:pt x="1424939" y="643128"/>
                </a:lnTo>
                <a:lnTo>
                  <a:pt x="1456944" y="635507"/>
                </a:lnTo>
                <a:lnTo>
                  <a:pt x="1488947" y="635507"/>
                </a:lnTo>
                <a:lnTo>
                  <a:pt x="1520952" y="635507"/>
                </a:lnTo>
                <a:lnTo>
                  <a:pt x="1552956" y="621791"/>
                </a:lnTo>
                <a:lnTo>
                  <a:pt x="1583436" y="605028"/>
                </a:lnTo>
                <a:lnTo>
                  <a:pt x="1615439" y="586739"/>
                </a:lnTo>
                <a:lnTo>
                  <a:pt x="1647444" y="568451"/>
                </a:lnTo>
                <a:lnTo>
                  <a:pt x="1679447" y="550163"/>
                </a:lnTo>
                <a:lnTo>
                  <a:pt x="1711452" y="550163"/>
                </a:lnTo>
                <a:lnTo>
                  <a:pt x="1741932" y="550163"/>
                </a:lnTo>
                <a:lnTo>
                  <a:pt x="1773936" y="565404"/>
                </a:lnTo>
                <a:lnTo>
                  <a:pt x="1805939" y="559307"/>
                </a:lnTo>
                <a:lnTo>
                  <a:pt x="1837944" y="551688"/>
                </a:lnTo>
                <a:lnTo>
                  <a:pt x="1869947" y="569976"/>
                </a:lnTo>
                <a:lnTo>
                  <a:pt x="1900427" y="537972"/>
                </a:lnTo>
                <a:lnTo>
                  <a:pt x="1932432" y="537972"/>
                </a:lnTo>
                <a:lnTo>
                  <a:pt x="1964436" y="537972"/>
                </a:lnTo>
                <a:lnTo>
                  <a:pt x="1996439" y="521207"/>
                </a:lnTo>
                <a:lnTo>
                  <a:pt x="2026920" y="507492"/>
                </a:lnTo>
                <a:lnTo>
                  <a:pt x="2058924" y="489203"/>
                </a:lnTo>
                <a:lnTo>
                  <a:pt x="2090927" y="466344"/>
                </a:lnTo>
                <a:lnTo>
                  <a:pt x="2122932" y="461771"/>
                </a:lnTo>
                <a:lnTo>
                  <a:pt x="2154936" y="461771"/>
                </a:lnTo>
                <a:lnTo>
                  <a:pt x="2185416" y="461771"/>
                </a:lnTo>
                <a:lnTo>
                  <a:pt x="2217420" y="458724"/>
                </a:lnTo>
                <a:lnTo>
                  <a:pt x="2249424" y="405383"/>
                </a:lnTo>
                <a:lnTo>
                  <a:pt x="2281428" y="384048"/>
                </a:lnTo>
                <a:lnTo>
                  <a:pt x="2313432" y="400812"/>
                </a:lnTo>
                <a:lnTo>
                  <a:pt x="2343911" y="364236"/>
                </a:lnTo>
                <a:lnTo>
                  <a:pt x="2375916" y="364236"/>
                </a:lnTo>
                <a:lnTo>
                  <a:pt x="2407920" y="364236"/>
                </a:lnTo>
                <a:lnTo>
                  <a:pt x="2439923" y="355092"/>
                </a:lnTo>
                <a:lnTo>
                  <a:pt x="2471928" y="313944"/>
                </a:lnTo>
                <a:lnTo>
                  <a:pt x="2502408" y="318515"/>
                </a:lnTo>
                <a:lnTo>
                  <a:pt x="2534411" y="283463"/>
                </a:lnTo>
                <a:lnTo>
                  <a:pt x="2566416" y="288036"/>
                </a:lnTo>
                <a:lnTo>
                  <a:pt x="2598420" y="288036"/>
                </a:lnTo>
                <a:lnTo>
                  <a:pt x="2630423" y="288036"/>
                </a:lnTo>
                <a:lnTo>
                  <a:pt x="2660904" y="280415"/>
                </a:lnTo>
                <a:lnTo>
                  <a:pt x="2692908" y="248412"/>
                </a:lnTo>
                <a:lnTo>
                  <a:pt x="2724911" y="237744"/>
                </a:lnTo>
                <a:lnTo>
                  <a:pt x="2756916" y="211836"/>
                </a:lnTo>
                <a:lnTo>
                  <a:pt x="2787396" y="211836"/>
                </a:lnTo>
                <a:lnTo>
                  <a:pt x="2819399" y="211836"/>
                </a:lnTo>
                <a:lnTo>
                  <a:pt x="2851404" y="211836"/>
                </a:lnTo>
                <a:lnTo>
                  <a:pt x="2883408" y="211836"/>
                </a:lnTo>
                <a:lnTo>
                  <a:pt x="2915411" y="210312"/>
                </a:lnTo>
                <a:lnTo>
                  <a:pt x="2945892" y="166115"/>
                </a:lnTo>
                <a:lnTo>
                  <a:pt x="2977896" y="144780"/>
                </a:lnTo>
                <a:lnTo>
                  <a:pt x="3009899" y="178307"/>
                </a:lnTo>
                <a:lnTo>
                  <a:pt x="3041904" y="178307"/>
                </a:lnTo>
                <a:lnTo>
                  <a:pt x="3073908" y="178307"/>
                </a:lnTo>
                <a:lnTo>
                  <a:pt x="3104387" y="163068"/>
                </a:lnTo>
                <a:lnTo>
                  <a:pt x="3136392" y="196595"/>
                </a:lnTo>
                <a:lnTo>
                  <a:pt x="3168396" y="179831"/>
                </a:lnTo>
                <a:lnTo>
                  <a:pt x="3200399" y="245363"/>
                </a:lnTo>
                <a:lnTo>
                  <a:pt x="3232404" y="254507"/>
                </a:lnTo>
                <a:lnTo>
                  <a:pt x="3262883" y="254507"/>
                </a:lnTo>
                <a:lnTo>
                  <a:pt x="3294887" y="254507"/>
                </a:lnTo>
                <a:lnTo>
                  <a:pt x="3326892" y="243839"/>
                </a:lnTo>
                <a:lnTo>
                  <a:pt x="3358896" y="304800"/>
                </a:lnTo>
                <a:lnTo>
                  <a:pt x="3390900" y="265175"/>
                </a:lnTo>
                <a:lnTo>
                  <a:pt x="3421379" y="205739"/>
                </a:lnTo>
                <a:lnTo>
                  <a:pt x="3453383" y="205739"/>
                </a:lnTo>
                <a:lnTo>
                  <a:pt x="3485387" y="205739"/>
                </a:lnTo>
                <a:lnTo>
                  <a:pt x="3517392" y="205739"/>
                </a:lnTo>
                <a:lnTo>
                  <a:pt x="3549396" y="175259"/>
                </a:lnTo>
                <a:lnTo>
                  <a:pt x="3579876" y="112775"/>
                </a:lnTo>
                <a:lnTo>
                  <a:pt x="3611879" y="140207"/>
                </a:lnTo>
                <a:lnTo>
                  <a:pt x="3643883" y="128015"/>
                </a:lnTo>
                <a:lnTo>
                  <a:pt x="3675887" y="99059"/>
                </a:lnTo>
                <a:lnTo>
                  <a:pt x="3706368" y="99059"/>
                </a:lnTo>
                <a:lnTo>
                  <a:pt x="3738372" y="99059"/>
                </a:lnTo>
                <a:lnTo>
                  <a:pt x="3770376" y="124968"/>
                </a:lnTo>
                <a:lnTo>
                  <a:pt x="3802379" y="163068"/>
                </a:lnTo>
                <a:lnTo>
                  <a:pt x="3834383" y="163068"/>
                </a:lnTo>
                <a:lnTo>
                  <a:pt x="3864864" y="144780"/>
                </a:lnTo>
                <a:lnTo>
                  <a:pt x="3896868" y="169163"/>
                </a:lnTo>
                <a:lnTo>
                  <a:pt x="3928872" y="169163"/>
                </a:lnTo>
                <a:lnTo>
                  <a:pt x="3960876" y="169163"/>
                </a:lnTo>
                <a:lnTo>
                  <a:pt x="3992879" y="135636"/>
                </a:lnTo>
                <a:lnTo>
                  <a:pt x="4023359" y="67056"/>
                </a:lnTo>
                <a:lnTo>
                  <a:pt x="4055364" y="70103"/>
                </a:lnTo>
                <a:lnTo>
                  <a:pt x="4087368" y="89915"/>
                </a:lnTo>
                <a:lnTo>
                  <a:pt x="4119372" y="74675"/>
                </a:lnTo>
                <a:lnTo>
                  <a:pt x="4151376" y="74675"/>
                </a:lnTo>
                <a:lnTo>
                  <a:pt x="4181855" y="74675"/>
                </a:lnTo>
                <a:lnTo>
                  <a:pt x="4213859" y="67056"/>
                </a:lnTo>
                <a:lnTo>
                  <a:pt x="4245864" y="35051"/>
                </a:lnTo>
                <a:lnTo>
                  <a:pt x="4277868" y="18287"/>
                </a:lnTo>
                <a:lnTo>
                  <a:pt x="4309872" y="28956"/>
                </a:lnTo>
                <a:lnTo>
                  <a:pt x="4340352" y="0"/>
                </a:lnTo>
                <a:lnTo>
                  <a:pt x="4372356" y="0"/>
                </a:lnTo>
                <a:lnTo>
                  <a:pt x="4404359" y="0"/>
                </a:lnTo>
                <a:lnTo>
                  <a:pt x="4436364" y="15239"/>
                </a:lnTo>
                <a:lnTo>
                  <a:pt x="4468368" y="42671"/>
                </a:lnTo>
                <a:lnTo>
                  <a:pt x="4498848" y="59436"/>
                </a:lnTo>
                <a:lnTo>
                  <a:pt x="4530852" y="57912"/>
                </a:lnTo>
                <a:lnTo>
                  <a:pt x="4562856" y="60959"/>
                </a:lnTo>
                <a:lnTo>
                  <a:pt x="4594859" y="60959"/>
                </a:lnTo>
                <a:lnTo>
                  <a:pt x="4625340" y="60959"/>
                </a:lnTo>
                <a:lnTo>
                  <a:pt x="4657344" y="65531"/>
                </a:lnTo>
                <a:lnTo>
                  <a:pt x="4689348" y="51815"/>
                </a:lnTo>
                <a:lnTo>
                  <a:pt x="4721352" y="103631"/>
                </a:lnTo>
                <a:lnTo>
                  <a:pt x="4753356" y="57912"/>
                </a:lnTo>
                <a:lnTo>
                  <a:pt x="4783835" y="54863"/>
                </a:lnTo>
                <a:lnTo>
                  <a:pt x="4815840" y="54863"/>
                </a:lnTo>
                <a:lnTo>
                  <a:pt x="4847844" y="54863"/>
                </a:lnTo>
                <a:lnTo>
                  <a:pt x="4879848" y="48768"/>
                </a:lnTo>
                <a:lnTo>
                  <a:pt x="4911852" y="128015"/>
                </a:lnTo>
                <a:lnTo>
                  <a:pt x="4942332" y="134112"/>
                </a:lnTo>
                <a:lnTo>
                  <a:pt x="4974335" y="85343"/>
                </a:lnTo>
                <a:lnTo>
                  <a:pt x="5006340" y="82295"/>
                </a:lnTo>
                <a:lnTo>
                  <a:pt x="5038344" y="82295"/>
                </a:lnTo>
                <a:lnTo>
                  <a:pt x="5070348" y="82295"/>
                </a:lnTo>
                <a:lnTo>
                  <a:pt x="5100828" y="126492"/>
                </a:lnTo>
                <a:lnTo>
                  <a:pt x="5132832" y="207263"/>
                </a:lnTo>
                <a:lnTo>
                  <a:pt x="5164835" y="179831"/>
                </a:lnTo>
                <a:lnTo>
                  <a:pt x="5196840" y="266700"/>
                </a:lnTo>
                <a:lnTo>
                  <a:pt x="5228844" y="329183"/>
                </a:lnTo>
                <a:lnTo>
                  <a:pt x="5259324" y="329183"/>
                </a:lnTo>
                <a:lnTo>
                  <a:pt x="5291328" y="329183"/>
                </a:lnTo>
                <a:lnTo>
                  <a:pt x="5323332" y="294131"/>
                </a:lnTo>
                <a:lnTo>
                  <a:pt x="5355335" y="260603"/>
                </a:lnTo>
                <a:lnTo>
                  <a:pt x="5385816" y="265175"/>
                </a:lnTo>
                <a:lnTo>
                  <a:pt x="5417820" y="233171"/>
                </a:lnTo>
                <a:lnTo>
                  <a:pt x="5449824" y="281939"/>
                </a:lnTo>
                <a:lnTo>
                  <a:pt x="5481828" y="281939"/>
                </a:lnTo>
                <a:lnTo>
                  <a:pt x="5513832" y="281939"/>
                </a:lnTo>
                <a:lnTo>
                  <a:pt x="5544311" y="220980"/>
                </a:lnTo>
                <a:lnTo>
                  <a:pt x="5576316" y="243839"/>
                </a:lnTo>
                <a:lnTo>
                  <a:pt x="5608320" y="257556"/>
                </a:lnTo>
                <a:lnTo>
                  <a:pt x="5640324" y="265175"/>
                </a:lnTo>
                <a:lnTo>
                  <a:pt x="5672328" y="263651"/>
                </a:lnTo>
                <a:lnTo>
                  <a:pt x="5702808" y="263651"/>
                </a:lnTo>
                <a:lnTo>
                  <a:pt x="5734812" y="263651"/>
                </a:lnTo>
                <a:lnTo>
                  <a:pt x="5766816" y="182880"/>
                </a:lnTo>
                <a:lnTo>
                  <a:pt x="5798820" y="217931"/>
                </a:lnTo>
                <a:lnTo>
                  <a:pt x="5830824" y="169163"/>
                </a:lnTo>
                <a:lnTo>
                  <a:pt x="5861304" y="129539"/>
                </a:lnTo>
                <a:lnTo>
                  <a:pt x="5893308" y="147827"/>
                </a:lnTo>
                <a:lnTo>
                  <a:pt x="5925312" y="147827"/>
                </a:lnTo>
                <a:lnTo>
                  <a:pt x="5957316" y="147827"/>
                </a:lnTo>
                <a:lnTo>
                  <a:pt x="5989320" y="150875"/>
                </a:lnTo>
                <a:lnTo>
                  <a:pt x="6019800" y="182880"/>
                </a:lnTo>
                <a:lnTo>
                  <a:pt x="6051804" y="149351"/>
                </a:lnTo>
                <a:lnTo>
                  <a:pt x="6083808" y="149351"/>
                </a:lnTo>
                <a:lnTo>
                  <a:pt x="6115812" y="129539"/>
                </a:lnTo>
                <a:lnTo>
                  <a:pt x="6147816" y="129539"/>
                </a:lnTo>
                <a:lnTo>
                  <a:pt x="6178296" y="129539"/>
                </a:lnTo>
                <a:lnTo>
                  <a:pt x="6210300" y="141731"/>
                </a:lnTo>
                <a:lnTo>
                  <a:pt x="6242304" y="137159"/>
                </a:lnTo>
                <a:lnTo>
                  <a:pt x="6274308" y="117348"/>
                </a:lnTo>
                <a:lnTo>
                  <a:pt x="6304788" y="96012"/>
                </a:lnTo>
                <a:lnTo>
                  <a:pt x="6336792" y="115824"/>
                </a:lnTo>
                <a:lnTo>
                  <a:pt x="6368796" y="115824"/>
                </a:lnTo>
                <a:lnTo>
                  <a:pt x="6400800" y="115824"/>
                </a:lnTo>
                <a:lnTo>
                  <a:pt x="6432804" y="54863"/>
                </a:lnTo>
                <a:lnTo>
                  <a:pt x="6463284" y="35051"/>
                </a:lnTo>
                <a:lnTo>
                  <a:pt x="6495288" y="48768"/>
                </a:lnTo>
                <a:lnTo>
                  <a:pt x="6527292" y="79248"/>
                </a:lnTo>
                <a:lnTo>
                  <a:pt x="6559296" y="80771"/>
                </a:lnTo>
                <a:lnTo>
                  <a:pt x="6591300" y="80771"/>
                </a:lnTo>
                <a:lnTo>
                  <a:pt x="6621780" y="80771"/>
                </a:lnTo>
                <a:lnTo>
                  <a:pt x="6653784" y="97536"/>
                </a:lnTo>
                <a:lnTo>
                  <a:pt x="6685788" y="60959"/>
                </a:lnTo>
                <a:lnTo>
                  <a:pt x="6717792" y="99059"/>
                </a:lnTo>
                <a:lnTo>
                  <a:pt x="6749796" y="224027"/>
                </a:lnTo>
                <a:lnTo>
                  <a:pt x="6780276" y="348995"/>
                </a:lnTo>
                <a:lnTo>
                  <a:pt x="6812280" y="348995"/>
                </a:lnTo>
                <a:lnTo>
                  <a:pt x="6844284" y="348995"/>
                </a:lnTo>
                <a:lnTo>
                  <a:pt x="6876288" y="408431"/>
                </a:lnTo>
                <a:lnTo>
                  <a:pt x="6908292" y="428244"/>
                </a:lnTo>
                <a:lnTo>
                  <a:pt x="6938772" y="352044"/>
                </a:lnTo>
                <a:lnTo>
                  <a:pt x="6970776" y="359663"/>
                </a:lnTo>
                <a:lnTo>
                  <a:pt x="7002780" y="342900"/>
                </a:lnTo>
                <a:lnTo>
                  <a:pt x="7034784" y="342900"/>
                </a:lnTo>
                <a:lnTo>
                  <a:pt x="7065264" y="342900"/>
                </a:lnTo>
                <a:lnTo>
                  <a:pt x="7097268" y="338327"/>
                </a:lnTo>
                <a:lnTo>
                  <a:pt x="7129272" y="330707"/>
                </a:lnTo>
                <a:lnTo>
                  <a:pt x="7161276" y="320039"/>
                </a:lnTo>
                <a:lnTo>
                  <a:pt x="7193280" y="269748"/>
                </a:lnTo>
                <a:lnTo>
                  <a:pt x="7223760" y="239268"/>
                </a:lnTo>
                <a:lnTo>
                  <a:pt x="7255764" y="239268"/>
                </a:lnTo>
                <a:lnTo>
                  <a:pt x="7287768" y="239268"/>
                </a:lnTo>
                <a:lnTo>
                  <a:pt x="7319772" y="213359"/>
                </a:lnTo>
                <a:lnTo>
                  <a:pt x="7351776" y="242315"/>
                </a:lnTo>
                <a:lnTo>
                  <a:pt x="7382256" y="230124"/>
                </a:lnTo>
                <a:lnTo>
                  <a:pt x="7414260" y="216407"/>
                </a:lnTo>
                <a:lnTo>
                  <a:pt x="7446264" y="187451"/>
                </a:lnTo>
              </a:path>
            </a:pathLst>
          </a:custGeom>
          <a:ln w="19050">
            <a:solidFill>
              <a:srgbClr val="BC9453"/>
            </a:solidFill>
          </a:ln>
        </xdr:spPr>
        <xdr:txBody>
          <a:bodyPr wrap="square" lIns="0" tIns="0" rIns="0" bIns="0" rtlCol="0"/>
          <a:lstStyle>
            <a:defPPr>
              <a:defRPr kern="0"/>
            </a:defPPr>
          </a:lstStyle>
          <a:p>
            <a:endParaRPr/>
          </a:p>
        </xdr:txBody>
      </xdr:sp>
      <xdr:sp macro="" textlink="">
        <xdr:nvSpPr>
          <xdr:cNvPr id="39" name="object 48">
            <a:extLst>
              <a:ext uri="{FF2B5EF4-FFF2-40B4-BE49-F238E27FC236}">
                <a16:creationId xmlns:a16="http://schemas.microsoft.com/office/drawing/2014/main" id="{00000000-0008-0000-0100-000027000000}"/>
              </a:ext>
            </a:extLst>
          </xdr:cNvPr>
          <xdr:cNvSpPr/>
        </xdr:nvSpPr>
        <xdr:spPr>
          <a:xfrm>
            <a:off x="925830" y="4193286"/>
            <a:ext cx="7446645" cy="1165860"/>
          </a:xfrm>
          <a:custGeom>
            <a:avLst/>
            <a:gdLst/>
            <a:ahLst/>
            <a:cxnLst/>
            <a:rect l="l" t="t" r="r" b="b"/>
            <a:pathLst>
              <a:path w="7446645" h="1165860">
                <a:moveTo>
                  <a:pt x="0" y="1165860"/>
                </a:moveTo>
                <a:lnTo>
                  <a:pt x="32003" y="1118616"/>
                </a:lnTo>
                <a:lnTo>
                  <a:pt x="62483" y="1130808"/>
                </a:lnTo>
                <a:lnTo>
                  <a:pt x="94487" y="1063752"/>
                </a:lnTo>
                <a:lnTo>
                  <a:pt x="126491" y="1042416"/>
                </a:lnTo>
                <a:lnTo>
                  <a:pt x="158495" y="1042416"/>
                </a:lnTo>
                <a:lnTo>
                  <a:pt x="190500" y="1042416"/>
                </a:lnTo>
                <a:lnTo>
                  <a:pt x="220979" y="1027176"/>
                </a:lnTo>
                <a:lnTo>
                  <a:pt x="252983" y="1075944"/>
                </a:lnTo>
                <a:lnTo>
                  <a:pt x="284988" y="1062227"/>
                </a:lnTo>
                <a:lnTo>
                  <a:pt x="316991" y="1088136"/>
                </a:lnTo>
                <a:lnTo>
                  <a:pt x="347472" y="1080516"/>
                </a:lnTo>
                <a:lnTo>
                  <a:pt x="379475" y="1080516"/>
                </a:lnTo>
                <a:lnTo>
                  <a:pt x="411479" y="1080516"/>
                </a:lnTo>
                <a:lnTo>
                  <a:pt x="443483" y="1086611"/>
                </a:lnTo>
                <a:lnTo>
                  <a:pt x="475488" y="1080516"/>
                </a:lnTo>
                <a:lnTo>
                  <a:pt x="505967" y="1069848"/>
                </a:lnTo>
                <a:lnTo>
                  <a:pt x="537972" y="1027176"/>
                </a:lnTo>
                <a:lnTo>
                  <a:pt x="569976" y="1028700"/>
                </a:lnTo>
                <a:lnTo>
                  <a:pt x="601979" y="1028700"/>
                </a:lnTo>
                <a:lnTo>
                  <a:pt x="633983" y="1028700"/>
                </a:lnTo>
                <a:lnTo>
                  <a:pt x="664463" y="1021080"/>
                </a:lnTo>
                <a:lnTo>
                  <a:pt x="696467" y="1022603"/>
                </a:lnTo>
                <a:lnTo>
                  <a:pt x="728471" y="972312"/>
                </a:lnTo>
                <a:lnTo>
                  <a:pt x="760476" y="1005839"/>
                </a:lnTo>
                <a:lnTo>
                  <a:pt x="792480" y="996695"/>
                </a:lnTo>
                <a:lnTo>
                  <a:pt x="822959" y="996695"/>
                </a:lnTo>
                <a:lnTo>
                  <a:pt x="854963" y="996695"/>
                </a:lnTo>
                <a:lnTo>
                  <a:pt x="886968" y="1019556"/>
                </a:lnTo>
                <a:lnTo>
                  <a:pt x="918971" y="960119"/>
                </a:lnTo>
                <a:lnTo>
                  <a:pt x="950976" y="955547"/>
                </a:lnTo>
                <a:lnTo>
                  <a:pt x="981456" y="1016507"/>
                </a:lnTo>
                <a:lnTo>
                  <a:pt x="1013459" y="1007363"/>
                </a:lnTo>
                <a:lnTo>
                  <a:pt x="1045463" y="1007363"/>
                </a:lnTo>
                <a:lnTo>
                  <a:pt x="1077468" y="1007363"/>
                </a:lnTo>
                <a:lnTo>
                  <a:pt x="1107947" y="891539"/>
                </a:lnTo>
                <a:lnTo>
                  <a:pt x="1139952" y="885444"/>
                </a:lnTo>
                <a:lnTo>
                  <a:pt x="1171956" y="903732"/>
                </a:lnTo>
                <a:lnTo>
                  <a:pt x="1203959" y="908303"/>
                </a:lnTo>
                <a:lnTo>
                  <a:pt x="1235964" y="908303"/>
                </a:lnTo>
                <a:lnTo>
                  <a:pt x="1266444" y="908303"/>
                </a:lnTo>
                <a:lnTo>
                  <a:pt x="1298447" y="908303"/>
                </a:lnTo>
                <a:lnTo>
                  <a:pt x="1330452" y="864107"/>
                </a:lnTo>
                <a:lnTo>
                  <a:pt x="1362456" y="890015"/>
                </a:lnTo>
                <a:lnTo>
                  <a:pt x="1394459" y="867156"/>
                </a:lnTo>
                <a:lnTo>
                  <a:pt x="1424939" y="876300"/>
                </a:lnTo>
                <a:lnTo>
                  <a:pt x="1456944" y="868680"/>
                </a:lnTo>
                <a:lnTo>
                  <a:pt x="1488947" y="868680"/>
                </a:lnTo>
                <a:lnTo>
                  <a:pt x="1520952" y="868680"/>
                </a:lnTo>
                <a:lnTo>
                  <a:pt x="1552956" y="865632"/>
                </a:lnTo>
                <a:lnTo>
                  <a:pt x="1583436" y="856488"/>
                </a:lnTo>
                <a:lnTo>
                  <a:pt x="1615439" y="815339"/>
                </a:lnTo>
                <a:lnTo>
                  <a:pt x="1647444" y="800100"/>
                </a:lnTo>
                <a:lnTo>
                  <a:pt x="1679447" y="749807"/>
                </a:lnTo>
                <a:lnTo>
                  <a:pt x="1711452" y="749807"/>
                </a:lnTo>
                <a:lnTo>
                  <a:pt x="1741932" y="749807"/>
                </a:lnTo>
                <a:lnTo>
                  <a:pt x="1773936" y="748283"/>
                </a:lnTo>
                <a:lnTo>
                  <a:pt x="1805939" y="757427"/>
                </a:lnTo>
                <a:lnTo>
                  <a:pt x="1837944" y="754380"/>
                </a:lnTo>
                <a:lnTo>
                  <a:pt x="1869947" y="765047"/>
                </a:lnTo>
                <a:lnTo>
                  <a:pt x="1900427" y="729995"/>
                </a:lnTo>
                <a:lnTo>
                  <a:pt x="1932432" y="729995"/>
                </a:lnTo>
                <a:lnTo>
                  <a:pt x="1964436" y="729995"/>
                </a:lnTo>
                <a:lnTo>
                  <a:pt x="1996439" y="711707"/>
                </a:lnTo>
                <a:lnTo>
                  <a:pt x="2026920" y="682751"/>
                </a:lnTo>
                <a:lnTo>
                  <a:pt x="2058924" y="667512"/>
                </a:lnTo>
                <a:lnTo>
                  <a:pt x="2090927" y="678180"/>
                </a:lnTo>
                <a:lnTo>
                  <a:pt x="2122932" y="696468"/>
                </a:lnTo>
                <a:lnTo>
                  <a:pt x="2154936" y="696468"/>
                </a:lnTo>
                <a:lnTo>
                  <a:pt x="2185416" y="696468"/>
                </a:lnTo>
                <a:lnTo>
                  <a:pt x="2217420" y="697991"/>
                </a:lnTo>
                <a:lnTo>
                  <a:pt x="2249424" y="633983"/>
                </a:lnTo>
                <a:lnTo>
                  <a:pt x="2281428" y="601980"/>
                </a:lnTo>
                <a:lnTo>
                  <a:pt x="2313432" y="609600"/>
                </a:lnTo>
                <a:lnTo>
                  <a:pt x="2343911" y="551688"/>
                </a:lnTo>
                <a:lnTo>
                  <a:pt x="2375916" y="551688"/>
                </a:lnTo>
                <a:lnTo>
                  <a:pt x="2407920" y="551688"/>
                </a:lnTo>
                <a:lnTo>
                  <a:pt x="2439923" y="534924"/>
                </a:lnTo>
                <a:lnTo>
                  <a:pt x="2471928" y="478536"/>
                </a:lnTo>
                <a:lnTo>
                  <a:pt x="2502408" y="475488"/>
                </a:lnTo>
                <a:lnTo>
                  <a:pt x="2534411" y="464819"/>
                </a:lnTo>
                <a:lnTo>
                  <a:pt x="2566416" y="477012"/>
                </a:lnTo>
                <a:lnTo>
                  <a:pt x="2598420" y="477012"/>
                </a:lnTo>
                <a:lnTo>
                  <a:pt x="2630423" y="477012"/>
                </a:lnTo>
                <a:lnTo>
                  <a:pt x="2660904" y="437388"/>
                </a:lnTo>
                <a:lnTo>
                  <a:pt x="2692908" y="403859"/>
                </a:lnTo>
                <a:lnTo>
                  <a:pt x="2724911" y="416051"/>
                </a:lnTo>
                <a:lnTo>
                  <a:pt x="2756916" y="379475"/>
                </a:lnTo>
                <a:lnTo>
                  <a:pt x="2787396" y="379475"/>
                </a:lnTo>
                <a:lnTo>
                  <a:pt x="2819399" y="379475"/>
                </a:lnTo>
                <a:lnTo>
                  <a:pt x="2851404" y="379475"/>
                </a:lnTo>
                <a:lnTo>
                  <a:pt x="2883408" y="379475"/>
                </a:lnTo>
                <a:lnTo>
                  <a:pt x="2915411" y="390144"/>
                </a:lnTo>
                <a:lnTo>
                  <a:pt x="2945892" y="330707"/>
                </a:lnTo>
                <a:lnTo>
                  <a:pt x="2977896" y="348995"/>
                </a:lnTo>
                <a:lnTo>
                  <a:pt x="3009899" y="397763"/>
                </a:lnTo>
                <a:lnTo>
                  <a:pt x="3041904" y="397763"/>
                </a:lnTo>
                <a:lnTo>
                  <a:pt x="3073908" y="397763"/>
                </a:lnTo>
                <a:lnTo>
                  <a:pt x="3104387" y="364236"/>
                </a:lnTo>
                <a:lnTo>
                  <a:pt x="3136392" y="420624"/>
                </a:lnTo>
                <a:lnTo>
                  <a:pt x="3168396" y="379475"/>
                </a:lnTo>
                <a:lnTo>
                  <a:pt x="3200399" y="461771"/>
                </a:lnTo>
                <a:lnTo>
                  <a:pt x="3232404" y="460247"/>
                </a:lnTo>
                <a:lnTo>
                  <a:pt x="3262883" y="460247"/>
                </a:lnTo>
                <a:lnTo>
                  <a:pt x="3294887" y="460247"/>
                </a:lnTo>
                <a:lnTo>
                  <a:pt x="3326892" y="429768"/>
                </a:lnTo>
                <a:lnTo>
                  <a:pt x="3358896" y="493775"/>
                </a:lnTo>
                <a:lnTo>
                  <a:pt x="3390900" y="437388"/>
                </a:lnTo>
                <a:lnTo>
                  <a:pt x="3421379" y="379475"/>
                </a:lnTo>
                <a:lnTo>
                  <a:pt x="3453383" y="359663"/>
                </a:lnTo>
                <a:lnTo>
                  <a:pt x="3485387" y="359663"/>
                </a:lnTo>
                <a:lnTo>
                  <a:pt x="3517392" y="359663"/>
                </a:lnTo>
                <a:lnTo>
                  <a:pt x="3549396" y="391668"/>
                </a:lnTo>
                <a:lnTo>
                  <a:pt x="3579876" y="294131"/>
                </a:lnTo>
                <a:lnTo>
                  <a:pt x="3611879" y="313944"/>
                </a:lnTo>
                <a:lnTo>
                  <a:pt x="3643883" y="327659"/>
                </a:lnTo>
                <a:lnTo>
                  <a:pt x="3675887" y="269747"/>
                </a:lnTo>
                <a:lnTo>
                  <a:pt x="3706368" y="269747"/>
                </a:lnTo>
                <a:lnTo>
                  <a:pt x="3738372" y="269747"/>
                </a:lnTo>
                <a:lnTo>
                  <a:pt x="3770376" y="286512"/>
                </a:lnTo>
                <a:lnTo>
                  <a:pt x="3802379" y="304800"/>
                </a:lnTo>
                <a:lnTo>
                  <a:pt x="3834383" y="304800"/>
                </a:lnTo>
                <a:lnTo>
                  <a:pt x="3864864" y="266700"/>
                </a:lnTo>
                <a:lnTo>
                  <a:pt x="3896868" y="348995"/>
                </a:lnTo>
                <a:lnTo>
                  <a:pt x="3928872" y="348995"/>
                </a:lnTo>
                <a:lnTo>
                  <a:pt x="3960876" y="348995"/>
                </a:lnTo>
                <a:lnTo>
                  <a:pt x="3992879" y="275844"/>
                </a:lnTo>
                <a:lnTo>
                  <a:pt x="4023359" y="207263"/>
                </a:lnTo>
                <a:lnTo>
                  <a:pt x="4055364" y="217931"/>
                </a:lnTo>
                <a:lnTo>
                  <a:pt x="4087368" y="222503"/>
                </a:lnTo>
                <a:lnTo>
                  <a:pt x="4119372" y="205739"/>
                </a:lnTo>
                <a:lnTo>
                  <a:pt x="4151376" y="205739"/>
                </a:lnTo>
                <a:lnTo>
                  <a:pt x="4181855" y="205739"/>
                </a:lnTo>
                <a:lnTo>
                  <a:pt x="4213859" y="201168"/>
                </a:lnTo>
                <a:lnTo>
                  <a:pt x="4245864" y="137159"/>
                </a:lnTo>
                <a:lnTo>
                  <a:pt x="4277868" y="123443"/>
                </a:lnTo>
                <a:lnTo>
                  <a:pt x="4309872" y="108203"/>
                </a:lnTo>
                <a:lnTo>
                  <a:pt x="4340352" y="83819"/>
                </a:lnTo>
                <a:lnTo>
                  <a:pt x="4372356" y="83819"/>
                </a:lnTo>
                <a:lnTo>
                  <a:pt x="4404359" y="83819"/>
                </a:lnTo>
                <a:lnTo>
                  <a:pt x="4436364" y="201168"/>
                </a:lnTo>
                <a:lnTo>
                  <a:pt x="4468368" y="198119"/>
                </a:lnTo>
                <a:lnTo>
                  <a:pt x="4498848" y="227075"/>
                </a:lnTo>
                <a:lnTo>
                  <a:pt x="4530852" y="216407"/>
                </a:lnTo>
                <a:lnTo>
                  <a:pt x="4562856" y="211836"/>
                </a:lnTo>
                <a:lnTo>
                  <a:pt x="4594859" y="211836"/>
                </a:lnTo>
                <a:lnTo>
                  <a:pt x="4625340" y="211836"/>
                </a:lnTo>
                <a:lnTo>
                  <a:pt x="4657344" y="198119"/>
                </a:lnTo>
                <a:lnTo>
                  <a:pt x="4689348" y="178307"/>
                </a:lnTo>
                <a:lnTo>
                  <a:pt x="4721352" y="240791"/>
                </a:lnTo>
                <a:lnTo>
                  <a:pt x="4753356" y="179831"/>
                </a:lnTo>
                <a:lnTo>
                  <a:pt x="4783835" y="182880"/>
                </a:lnTo>
                <a:lnTo>
                  <a:pt x="4815840" y="182880"/>
                </a:lnTo>
                <a:lnTo>
                  <a:pt x="4847844" y="182880"/>
                </a:lnTo>
                <a:lnTo>
                  <a:pt x="4879848" y="156971"/>
                </a:lnTo>
                <a:lnTo>
                  <a:pt x="4911852" y="265175"/>
                </a:lnTo>
                <a:lnTo>
                  <a:pt x="4942332" y="257556"/>
                </a:lnTo>
                <a:lnTo>
                  <a:pt x="4974335" y="185927"/>
                </a:lnTo>
                <a:lnTo>
                  <a:pt x="5006340" y="188975"/>
                </a:lnTo>
                <a:lnTo>
                  <a:pt x="5038344" y="188975"/>
                </a:lnTo>
                <a:lnTo>
                  <a:pt x="5070348" y="188975"/>
                </a:lnTo>
                <a:lnTo>
                  <a:pt x="5100828" y="214883"/>
                </a:lnTo>
                <a:lnTo>
                  <a:pt x="5132832" y="326136"/>
                </a:lnTo>
                <a:lnTo>
                  <a:pt x="5164835" y="268224"/>
                </a:lnTo>
                <a:lnTo>
                  <a:pt x="5196840" y="377951"/>
                </a:lnTo>
                <a:lnTo>
                  <a:pt x="5228844" y="499871"/>
                </a:lnTo>
                <a:lnTo>
                  <a:pt x="5259324" y="499871"/>
                </a:lnTo>
                <a:lnTo>
                  <a:pt x="5291328" y="499871"/>
                </a:lnTo>
                <a:lnTo>
                  <a:pt x="5323332" y="455675"/>
                </a:lnTo>
                <a:lnTo>
                  <a:pt x="5355335" y="387095"/>
                </a:lnTo>
                <a:lnTo>
                  <a:pt x="5385816" y="374903"/>
                </a:lnTo>
                <a:lnTo>
                  <a:pt x="5417820" y="324612"/>
                </a:lnTo>
                <a:lnTo>
                  <a:pt x="5449824" y="379475"/>
                </a:lnTo>
                <a:lnTo>
                  <a:pt x="5481828" y="379475"/>
                </a:lnTo>
                <a:lnTo>
                  <a:pt x="5513832" y="379475"/>
                </a:lnTo>
                <a:lnTo>
                  <a:pt x="5544311" y="280415"/>
                </a:lnTo>
                <a:lnTo>
                  <a:pt x="5576316" y="309371"/>
                </a:lnTo>
                <a:lnTo>
                  <a:pt x="5608320" y="313944"/>
                </a:lnTo>
                <a:lnTo>
                  <a:pt x="5640324" y="353568"/>
                </a:lnTo>
                <a:lnTo>
                  <a:pt x="5672328" y="355091"/>
                </a:lnTo>
                <a:lnTo>
                  <a:pt x="5702808" y="355091"/>
                </a:lnTo>
                <a:lnTo>
                  <a:pt x="5734812" y="355091"/>
                </a:lnTo>
                <a:lnTo>
                  <a:pt x="5766816" y="228600"/>
                </a:lnTo>
                <a:lnTo>
                  <a:pt x="5798820" y="274319"/>
                </a:lnTo>
                <a:lnTo>
                  <a:pt x="5830824" y="220980"/>
                </a:lnTo>
                <a:lnTo>
                  <a:pt x="5861304" y="179831"/>
                </a:lnTo>
                <a:lnTo>
                  <a:pt x="5893308" y="193547"/>
                </a:lnTo>
                <a:lnTo>
                  <a:pt x="5925312" y="193547"/>
                </a:lnTo>
                <a:lnTo>
                  <a:pt x="5957316" y="193547"/>
                </a:lnTo>
                <a:lnTo>
                  <a:pt x="5989320" y="167639"/>
                </a:lnTo>
                <a:lnTo>
                  <a:pt x="6019800" y="193547"/>
                </a:lnTo>
                <a:lnTo>
                  <a:pt x="6051804" y="166115"/>
                </a:lnTo>
                <a:lnTo>
                  <a:pt x="6083808" y="182880"/>
                </a:lnTo>
                <a:lnTo>
                  <a:pt x="6115812" y="155447"/>
                </a:lnTo>
                <a:lnTo>
                  <a:pt x="6147816" y="155447"/>
                </a:lnTo>
                <a:lnTo>
                  <a:pt x="6178296" y="155447"/>
                </a:lnTo>
                <a:lnTo>
                  <a:pt x="6210300" y="156971"/>
                </a:lnTo>
                <a:lnTo>
                  <a:pt x="6242304" y="129539"/>
                </a:lnTo>
                <a:lnTo>
                  <a:pt x="6274308" y="112775"/>
                </a:lnTo>
                <a:lnTo>
                  <a:pt x="6304788" y="99059"/>
                </a:lnTo>
                <a:lnTo>
                  <a:pt x="6336792" y="114300"/>
                </a:lnTo>
                <a:lnTo>
                  <a:pt x="6368796" y="114300"/>
                </a:lnTo>
                <a:lnTo>
                  <a:pt x="6400800" y="114300"/>
                </a:lnTo>
                <a:lnTo>
                  <a:pt x="6432804" y="27431"/>
                </a:lnTo>
                <a:lnTo>
                  <a:pt x="6463284" y="0"/>
                </a:lnTo>
                <a:lnTo>
                  <a:pt x="6495288" y="3047"/>
                </a:lnTo>
                <a:lnTo>
                  <a:pt x="6527292" y="57912"/>
                </a:lnTo>
                <a:lnTo>
                  <a:pt x="6559296" y="67056"/>
                </a:lnTo>
                <a:lnTo>
                  <a:pt x="6591300" y="67056"/>
                </a:lnTo>
                <a:lnTo>
                  <a:pt x="6621780" y="67056"/>
                </a:lnTo>
                <a:lnTo>
                  <a:pt x="6653784" y="85343"/>
                </a:lnTo>
                <a:lnTo>
                  <a:pt x="6685788" y="4571"/>
                </a:lnTo>
                <a:lnTo>
                  <a:pt x="6717792" y="51815"/>
                </a:lnTo>
                <a:lnTo>
                  <a:pt x="6749796" y="220980"/>
                </a:lnTo>
                <a:lnTo>
                  <a:pt x="6780276" y="376427"/>
                </a:lnTo>
                <a:lnTo>
                  <a:pt x="6812280" y="376427"/>
                </a:lnTo>
                <a:lnTo>
                  <a:pt x="6844284" y="376427"/>
                </a:lnTo>
                <a:lnTo>
                  <a:pt x="6876288" y="440436"/>
                </a:lnTo>
                <a:lnTo>
                  <a:pt x="6908292" y="477012"/>
                </a:lnTo>
                <a:lnTo>
                  <a:pt x="6938772" y="364236"/>
                </a:lnTo>
                <a:lnTo>
                  <a:pt x="6970776" y="373380"/>
                </a:lnTo>
                <a:lnTo>
                  <a:pt x="7002780" y="356615"/>
                </a:lnTo>
                <a:lnTo>
                  <a:pt x="7034784" y="356615"/>
                </a:lnTo>
                <a:lnTo>
                  <a:pt x="7065264" y="356615"/>
                </a:lnTo>
                <a:lnTo>
                  <a:pt x="7097268" y="341375"/>
                </a:lnTo>
                <a:lnTo>
                  <a:pt x="7129272" y="344424"/>
                </a:lnTo>
                <a:lnTo>
                  <a:pt x="7161276" y="313944"/>
                </a:lnTo>
                <a:lnTo>
                  <a:pt x="7193280" y="313944"/>
                </a:lnTo>
                <a:lnTo>
                  <a:pt x="7223760" y="208787"/>
                </a:lnTo>
                <a:lnTo>
                  <a:pt x="7255764" y="208787"/>
                </a:lnTo>
                <a:lnTo>
                  <a:pt x="7287768" y="208787"/>
                </a:lnTo>
                <a:lnTo>
                  <a:pt x="7319772" y="185927"/>
                </a:lnTo>
                <a:lnTo>
                  <a:pt x="7351776" y="231647"/>
                </a:lnTo>
                <a:lnTo>
                  <a:pt x="7382256" y="216407"/>
                </a:lnTo>
                <a:lnTo>
                  <a:pt x="7414260" y="204215"/>
                </a:lnTo>
                <a:lnTo>
                  <a:pt x="7446264" y="160019"/>
                </a:lnTo>
              </a:path>
            </a:pathLst>
          </a:custGeom>
          <a:ln w="19050">
            <a:solidFill>
              <a:srgbClr val="81AFCD"/>
            </a:solidFill>
          </a:ln>
        </xdr:spPr>
        <xdr:txBody>
          <a:bodyPr wrap="square" lIns="0" tIns="0" rIns="0" bIns="0" rtlCol="0"/>
          <a:lstStyle>
            <a:defPPr>
              <a:defRPr kern="0"/>
            </a:defPPr>
          </a:lstStyle>
          <a:p>
            <a:endParaRPr/>
          </a:p>
        </xdr:txBody>
      </xdr:sp>
    </xdr:grpSp>
    <xdr:clientData/>
  </xdr:twoCellAnchor>
  <xdr:twoCellAnchor>
    <xdr:from>
      <xdr:col>9</xdr:col>
      <xdr:colOff>353337</xdr:colOff>
      <xdr:row>40</xdr:row>
      <xdr:rowOff>139675</xdr:rowOff>
    </xdr:from>
    <xdr:to>
      <xdr:col>10</xdr:col>
      <xdr:colOff>111633</xdr:colOff>
      <xdr:row>41</xdr:row>
      <xdr:rowOff>114275</xdr:rowOff>
    </xdr:to>
    <xdr:sp macro="" textlink="">
      <xdr:nvSpPr>
        <xdr:cNvPr id="40" name="object 49">
          <a:extLst>
            <a:ext uri="{FF2B5EF4-FFF2-40B4-BE49-F238E27FC236}">
              <a16:creationId xmlns:a16="http://schemas.microsoft.com/office/drawing/2014/main" id="{00000000-0008-0000-0100-000028000000}"/>
            </a:ext>
          </a:extLst>
        </xdr:cNvPr>
        <xdr:cNvSpPr txBox="1"/>
      </xdr:nvSpPr>
      <xdr:spPr>
        <a:xfrm>
          <a:off x="6411237" y="7378675"/>
          <a:ext cx="431396" cy="165100"/>
        </a:xfrm>
        <a:prstGeom prst="rect">
          <a:avLst/>
        </a:prstGeom>
      </xdr:spPr>
      <xdr:txBody>
        <a:bodyPr vert="horz" wrap="square" lIns="0" tIns="12065" rIns="0" bIns="0" rtlCol="0">
          <a:spAutoFit/>
        </a:bodyPr>
        <a:lstStyle>
          <a:defPPr>
            <a:defRPr kern="0"/>
          </a:defPPr>
        </a:lstStyle>
        <a:p>
          <a:pPr marL="12700">
            <a:lnSpc>
              <a:spcPct val="100000"/>
            </a:lnSpc>
            <a:spcBef>
              <a:spcPts val="95"/>
            </a:spcBef>
          </a:pPr>
          <a:r>
            <a:rPr sz="1000" spc="-20">
              <a:solidFill>
                <a:srgbClr val="003366"/>
              </a:solidFill>
              <a:latin typeface="Verdana"/>
              <a:cs typeface="Verdana"/>
            </a:rPr>
            <a:t>Jan-</a:t>
          </a:r>
          <a:r>
            <a:rPr sz="1000" spc="-55">
              <a:solidFill>
                <a:srgbClr val="003366"/>
              </a:solidFill>
              <a:latin typeface="Verdana"/>
              <a:cs typeface="Verdana"/>
            </a:rPr>
            <a:t>24</a:t>
          </a:r>
          <a:endParaRPr sz="1000">
            <a:latin typeface="Verdana"/>
            <a:cs typeface="Verdana"/>
          </a:endParaRPr>
        </a:p>
      </xdr:txBody>
    </xdr:sp>
    <xdr:clientData/>
  </xdr:twoCellAnchor>
  <xdr:twoCellAnchor>
    <xdr:from>
      <xdr:col>19</xdr:col>
      <xdr:colOff>62763</xdr:colOff>
      <xdr:row>40</xdr:row>
      <xdr:rowOff>139675</xdr:rowOff>
    </xdr:from>
    <xdr:to>
      <xdr:col>19</xdr:col>
      <xdr:colOff>526947</xdr:colOff>
      <xdr:row>41</xdr:row>
      <xdr:rowOff>114275</xdr:rowOff>
    </xdr:to>
    <xdr:sp macro="" textlink="">
      <xdr:nvSpPr>
        <xdr:cNvPr id="45" name="object 54">
          <a:extLst>
            <a:ext uri="{FF2B5EF4-FFF2-40B4-BE49-F238E27FC236}">
              <a16:creationId xmlns:a16="http://schemas.microsoft.com/office/drawing/2014/main" id="{00000000-0008-0000-0100-00002D000000}"/>
            </a:ext>
          </a:extLst>
        </xdr:cNvPr>
        <xdr:cNvSpPr txBox="1"/>
      </xdr:nvSpPr>
      <xdr:spPr>
        <a:xfrm>
          <a:off x="12851663" y="7378675"/>
          <a:ext cx="464184" cy="165100"/>
        </a:xfrm>
        <a:prstGeom prst="rect">
          <a:avLst/>
        </a:prstGeom>
      </xdr:spPr>
      <xdr:txBody>
        <a:bodyPr vert="horz" wrap="square" lIns="0" tIns="12065" rIns="0" bIns="0" rtlCol="0">
          <a:spAutoFit/>
        </a:bodyPr>
        <a:lstStyle>
          <a:defPPr>
            <a:defRPr kern="0"/>
          </a:defPPr>
        </a:lstStyle>
        <a:p>
          <a:pPr marL="12700">
            <a:lnSpc>
              <a:spcPct val="100000"/>
            </a:lnSpc>
            <a:spcBef>
              <a:spcPts val="95"/>
            </a:spcBef>
          </a:pPr>
          <a:r>
            <a:rPr sz="1000" spc="-25">
              <a:solidFill>
                <a:srgbClr val="003366"/>
              </a:solidFill>
              <a:latin typeface="Verdana"/>
              <a:cs typeface="Verdana"/>
            </a:rPr>
            <a:t>Aug-</a:t>
          </a:r>
          <a:r>
            <a:rPr sz="1000" spc="-60">
              <a:solidFill>
                <a:srgbClr val="003366"/>
              </a:solidFill>
              <a:latin typeface="Verdana"/>
              <a:cs typeface="Verdana"/>
            </a:rPr>
            <a:t>24</a:t>
          </a:r>
          <a:endParaRPr sz="1000">
            <a:latin typeface="Verdana"/>
            <a:cs typeface="Verdana"/>
          </a:endParaRPr>
        </a:p>
      </xdr:txBody>
    </xdr:sp>
    <xdr:clientData/>
  </xdr:twoCellAnchor>
  <xdr:twoCellAnchor>
    <xdr:from>
      <xdr:col>0</xdr:col>
      <xdr:colOff>146381</xdr:colOff>
      <xdr:row>65</xdr:row>
      <xdr:rowOff>128540</xdr:rowOff>
    </xdr:from>
    <xdr:to>
      <xdr:col>20</xdr:col>
      <xdr:colOff>573150</xdr:colOff>
      <xdr:row>75</xdr:row>
      <xdr:rowOff>131949</xdr:rowOff>
    </xdr:to>
    <xdr:graphicFrame macro="">
      <xdr:nvGraphicFramePr>
        <xdr:cNvPr id="46" name="Grafico 45">
          <a:extLst>
            <a:ext uri="{FF2B5EF4-FFF2-40B4-BE49-F238E27FC236}">
              <a16:creationId xmlns:a16="http://schemas.microsoft.com/office/drawing/2014/main" id="{00000000-0008-0000-01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43166</xdr:colOff>
      <xdr:row>115</xdr:row>
      <xdr:rowOff>45359</xdr:rowOff>
    </xdr:from>
    <xdr:to>
      <xdr:col>20</xdr:col>
      <xdr:colOff>348343</xdr:colOff>
      <xdr:row>129</xdr:row>
      <xdr:rowOff>139204</xdr:rowOff>
    </xdr:to>
    <xdr:graphicFrame macro="">
      <xdr:nvGraphicFramePr>
        <xdr:cNvPr id="47" name="Grafico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292419</xdr:colOff>
      <xdr:row>78</xdr:row>
      <xdr:rowOff>28540</xdr:rowOff>
    </xdr:from>
    <xdr:to>
      <xdr:col>6</xdr:col>
      <xdr:colOff>344938</xdr:colOff>
      <xdr:row>85</xdr:row>
      <xdr:rowOff>135537</xdr:rowOff>
    </xdr:to>
    <xdr:graphicFrame macro="">
      <xdr:nvGraphicFramePr>
        <xdr:cNvPr id="48" name="Grafico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57632</xdr:colOff>
      <xdr:row>78</xdr:row>
      <xdr:rowOff>5095</xdr:rowOff>
    </xdr:from>
    <xdr:to>
      <xdr:col>13</xdr:col>
      <xdr:colOff>483810</xdr:colOff>
      <xdr:row>85</xdr:row>
      <xdr:rowOff>79802</xdr:rowOff>
    </xdr:to>
    <xdr:graphicFrame macro="">
      <xdr:nvGraphicFramePr>
        <xdr:cNvPr id="49" name="Grafico 48">
          <a:extLst>
            <a:ext uri="{FF2B5EF4-FFF2-40B4-BE49-F238E27FC236}">
              <a16:creationId xmlns:a16="http://schemas.microsoft.com/office/drawing/2014/main" id="{00000000-0008-0000-01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296529</xdr:colOff>
      <xdr:row>77</xdr:row>
      <xdr:rowOff>185506</xdr:rowOff>
    </xdr:from>
    <xdr:to>
      <xdr:col>21</xdr:col>
      <xdr:colOff>33635</xdr:colOff>
      <xdr:row>85</xdr:row>
      <xdr:rowOff>57036</xdr:rowOff>
    </xdr:to>
    <xdr:graphicFrame macro="">
      <xdr:nvGraphicFramePr>
        <xdr:cNvPr id="50" name="Grafico 49">
          <a:extLst>
            <a:ext uri="{FF2B5EF4-FFF2-40B4-BE49-F238E27FC236}">
              <a16:creationId xmlns:a16="http://schemas.microsoft.com/office/drawing/2014/main" id="{00000000-0008-0000-01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261824</xdr:colOff>
      <xdr:row>86</xdr:row>
      <xdr:rowOff>107930</xdr:rowOff>
    </xdr:from>
    <xdr:to>
      <xdr:col>6</xdr:col>
      <xdr:colOff>332618</xdr:colOff>
      <xdr:row>93</xdr:row>
      <xdr:rowOff>211665</xdr:rowOff>
    </xdr:to>
    <xdr:graphicFrame macro="">
      <xdr:nvGraphicFramePr>
        <xdr:cNvPr id="51" name="Grafico 50">
          <a:extLst>
            <a:ext uri="{FF2B5EF4-FFF2-40B4-BE49-F238E27FC236}">
              <a16:creationId xmlns:a16="http://schemas.microsoft.com/office/drawing/2014/main" id="{00000000-0008-0000-01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12450</xdr:colOff>
      <xdr:row>86</xdr:row>
      <xdr:rowOff>92635</xdr:rowOff>
    </xdr:from>
    <xdr:to>
      <xdr:col>13</xdr:col>
      <xdr:colOff>393095</xdr:colOff>
      <xdr:row>94</xdr:row>
      <xdr:rowOff>30239</xdr:rowOff>
    </xdr:to>
    <xdr:graphicFrame macro="">
      <xdr:nvGraphicFramePr>
        <xdr:cNvPr id="52" name="Grafico 51">
          <a:extLst>
            <a:ext uri="{FF2B5EF4-FFF2-40B4-BE49-F238E27FC236}">
              <a16:creationId xmlns:a16="http://schemas.microsoft.com/office/drawing/2014/main" id="{00000000-0008-0000-01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308428</xdr:colOff>
      <xdr:row>86</xdr:row>
      <xdr:rowOff>0</xdr:rowOff>
    </xdr:from>
    <xdr:to>
      <xdr:col>21</xdr:col>
      <xdr:colOff>90715</xdr:colOff>
      <xdr:row>94</xdr:row>
      <xdr:rowOff>0</xdr:rowOff>
    </xdr:to>
    <xdr:graphicFrame macro="">
      <xdr:nvGraphicFramePr>
        <xdr:cNvPr id="53" name="Grafico 52">
          <a:extLst>
            <a:ext uri="{FF2B5EF4-FFF2-40B4-BE49-F238E27FC236}">
              <a16:creationId xmlns:a16="http://schemas.microsoft.com/office/drawing/2014/main" id="{00000000-0008-0000-01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266958</xdr:colOff>
      <xdr:row>22</xdr:row>
      <xdr:rowOff>198601</xdr:rowOff>
    </xdr:from>
    <xdr:to>
      <xdr:col>19</xdr:col>
      <xdr:colOff>181002</xdr:colOff>
      <xdr:row>43</xdr:row>
      <xdr:rowOff>6403</xdr:rowOff>
    </xdr:to>
    <xdr:pic>
      <xdr:nvPicPr>
        <xdr:cNvPr id="16" name="Immagin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a:stretch>
          <a:fillRect/>
        </a:stretch>
      </xdr:blipFill>
      <xdr:spPr>
        <a:xfrm>
          <a:off x="10159590" y="5100355"/>
          <a:ext cx="5684745" cy="3996574"/>
        </a:xfrm>
        <a:prstGeom prst="rect">
          <a:avLst/>
        </a:prstGeom>
      </xdr:spPr>
    </xdr:pic>
    <xdr:clientData/>
  </xdr:twoCellAnchor>
  <xdr:twoCellAnchor editAs="oneCell">
    <xdr:from>
      <xdr:col>1</xdr:col>
      <xdr:colOff>240365</xdr:colOff>
      <xdr:row>22</xdr:row>
      <xdr:rowOff>162129</xdr:rowOff>
    </xdr:from>
    <xdr:to>
      <xdr:col>8</xdr:col>
      <xdr:colOff>8135</xdr:colOff>
      <xdr:row>42</xdr:row>
      <xdr:rowOff>35572</xdr:rowOff>
    </xdr:to>
    <xdr:pic>
      <xdr:nvPicPr>
        <xdr:cNvPr id="18" name="Immagin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2"/>
        <a:stretch>
          <a:fillRect/>
        </a:stretch>
      </xdr:blipFill>
      <xdr:spPr>
        <a:xfrm>
          <a:off x="1064751" y="5063883"/>
          <a:ext cx="5538472" cy="38839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212552</xdr:colOff>
      <xdr:row>104</xdr:row>
      <xdr:rowOff>93872</xdr:rowOff>
    </xdr:from>
    <xdr:to>
      <xdr:col>3</xdr:col>
      <xdr:colOff>1027205</xdr:colOff>
      <xdr:row>127</xdr:row>
      <xdr:rowOff>84316</xdr:rowOff>
    </xdr:to>
    <xdr:pic>
      <xdr:nvPicPr>
        <xdr:cNvPr id="5" name="Immagin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212552" y="24840196"/>
          <a:ext cx="6193477" cy="4398090"/>
        </a:xfrm>
        <a:prstGeom prst="rect">
          <a:avLst/>
        </a:prstGeom>
      </xdr:spPr>
    </xdr:pic>
    <xdr:clientData/>
  </xdr:twoCellAnchor>
  <xdr:twoCellAnchor editAs="oneCell">
    <xdr:from>
      <xdr:col>4</xdr:col>
      <xdr:colOff>125555</xdr:colOff>
      <xdr:row>118</xdr:row>
      <xdr:rowOff>152400</xdr:rowOff>
    </xdr:from>
    <xdr:to>
      <xdr:col>15</xdr:col>
      <xdr:colOff>598651</xdr:colOff>
      <xdr:row>128</xdr:row>
      <xdr:rowOff>44678</xdr:rowOff>
    </xdr:to>
    <xdr:pic>
      <xdr:nvPicPr>
        <xdr:cNvPr id="6" name="Immagin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stretch>
          <a:fillRect/>
        </a:stretch>
      </xdr:blipFill>
      <xdr:spPr>
        <a:xfrm>
          <a:off x="6958155" y="27813000"/>
          <a:ext cx="10738929" cy="1924279"/>
        </a:xfrm>
        <a:prstGeom prst="rect">
          <a:avLst/>
        </a:prstGeom>
      </xdr:spPr>
    </xdr:pic>
    <xdr:clientData/>
  </xdr:twoCellAnchor>
  <xdr:twoCellAnchor>
    <xdr:from>
      <xdr:col>0</xdr:col>
      <xdr:colOff>1064560</xdr:colOff>
      <xdr:row>115</xdr:row>
      <xdr:rowOff>186764</xdr:rowOff>
    </xdr:from>
    <xdr:to>
      <xdr:col>0</xdr:col>
      <xdr:colOff>2427942</xdr:colOff>
      <xdr:row>123</xdr:row>
      <xdr:rowOff>74706</xdr:rowOff>
    </xdr:to>
    <xdr:sp macro="" textlink="">
      <xdr:nvSpPr>
        <xdr:cNvPr id="7" name="Ovale 6">
          <a:extLst>
            <a:ext uri="{FF2B5EF4-FFF2-40B4-BE49-F238E27FC236}">
              <a16:creationId xmlns:a16="http://schemas.microsoft.com/office/drawing/2014/main" id="{00000000-0008-0000-0300-000007000000}"/>
            </a:ext>
          </a:extLst>
        </xdr:cNvPr>
        <xdr:cNvSpPr/>
      </xdr:nvSpPr>
      <xdr:spPr>
        <a:xfrm>
          <a:off x="1064560" y="27099558"/>
          <a:ext cx="1363382" cy="1382060"/>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16</xdr:col>
      <xdr:colOff>491067</xdr:colOff>
      <xdr:row>104</xdr:row>
      <xdr:rowOff>93133</xdr:rowOff>
    </xdr:from>
    <xdr:to>
      <xdr:col>22</xdr:col>
      <xdr:colOff>267547</xdr:colOff>
      <xdr:row>117</xdr:row>
      <xdr:rowOff>84666</xdr:rowOff>
    </xdr:to>
    <xdr:pic>
      <xdr:nvPicPr>
        <xdr:cNvPr id="4" name="Immagin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8237200" y="24561800"/>
          <a:ext cx="5994400" cy="2531533"/>
        </a:xfrm>
        <a:prstGeom prst="rect">
          <a:avLst/>
        </a:prstGeom>
      </xdr:spPr>
    </xdr:pic>
    <xdr:clientData/>
  </xdr:twoCellAnchor>
  <xdr:twoCellAnchor>
    <xdr:from>
      <xdr:col>16</xdr:col>
      <xdr:colOff>0</xdr:colOff>
      <xdr:row>59</xdr:row>
      <xdr:rowOff>0</xdr:rowOff>
    </xdr:from>
    <xdr:to>
      <xdr:col>18</xdr:col>
      <xdr:colOff>0</xdr:colOff>
      <xdr:row>60</xdr:row>
      <xdr:rowOff>0</xdr:rowOff>
    </xdr:to>
    <xdr:sp macro="[0]!Foglio4.ApplicaScenarioPessimistaR" textlink="">
      <xdr:nvSpPr>
        <xdr:cNvPr id="8" name="Rettangolo 7">
          <a:extLst>
            <a:ext uri="{FF2B5EF4-FFF2-40B4-BE49-F238E27FC236}">
              <a16:creationId xmlns:a16="http://schemas.microsoft.com/office/drawing/2014/main" id="{66EE8CD7-A28D-1CF8-AA56-289AC8A80570}"/>
            </a:ext>
          </a:extLst>
        </xdr:cNvPr>
        <xdr:cNvSpPr/>
      </xdr:nvSpPr>
      <xdr:spPr>
        <a:xfrm>
          <a:off x="17769840" y="15097760"/>
          <a:ext cx="1960880" cy="203200"/>
        </a:xfrm>
        <a:prstGeom prst="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b="0">
              <a:latin typeface="Avenir Next" panose="020B0503020202020204" pitchFamily="34" charset="0"/>
            </a:rPr>
            <a:t>Scenario</a:t>
          </a:r>
          <a:r>
            <a:rPr lang="it-IT" sz="1100" b="0" baseline="0">
              <a:latin typeface="Avenir Next" panose="020B0503020202020204" pitchFamily="34" charset="0"/>
            </a:rPr>
            <a:t> Pessimista</a:t>
          </a:r>
          <a:endParaRPr lang="it-IT" sz="1100" b="0">
            <a:latin typeface="Avenir Next" panose="020B0503020202020204" pitchFamily="34" charset="0"/>
          </a:endParaRPr>
        </a:p>
      </xdr:txBody>
    </xdr:sp>
    <xdr:clientData/>
  </xdr:twoCellAnchor>
  <xdr:twoCellAnchor>
    <xdr:from>
      <xdr:col>16</xdr:col>
      <xdr:colOff>0</xdr:colOff>
      <xdr:row>60</xdr:row>
      <xdr:rowOff>0</xdr:rowOff>
    </xdr:from>
    <xdr:to>
      <xdr:col>18</xdr:col>
      <xdr:colOff>0</xdr:colOff>
      <xdr:row>60</xdr:row>
      <xdr:rowOff>193040</xdr:rowOff>
    </xdr:to>
    <xdr:sp macro="[0]!Foglio4.ApplicaScenarioOttimistaR" textlink="">
      <xdr:nvSpPr>
        <xdr:cNvPr id="9" name="Rettangolo 8">
          <a:extLst>
            <a:ext uri="{FF2B5EF4-FFF2-40B4-BE49-F238E27FC236}">
              <a16:creationId xmlns:a16="http://schemas.microsoft.com/office/drawing/2014/main" id="{8C55DF9F-9DDD-B54E-927A-EFCD828581AA}"/>
            </a:ext>
          </a:extLst>
        </xdr:cNvPr>
        <xdr:cNvSpPr/>
      </xdr:nvSpPr>
      <xdr:spPr>
        <a:xfrm>
          <a:off x="17769840" y="15300960"/>
          <a:ext cx="1960880" cy="19304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a:latin typeface="Avenir Next" panose="020B0503020202020204" pitchFamily="34" charset="0"/>
            </a:rPr>
            <a:t>Scenario</a:t>
          </a:r>
          <a:r>
            <a:rPr lang="it-IT" sz="1100" baseline="0">
              <a:latin typeface="Avenir Next" panose="020B0503020202020204" pitchFamily="34" charset="0"/>
            </a:rPr>
            <a:t> Ottimista</a:t>
          </a:r>
          <a:endParaRPr lang="it-IT" sz="1100">
            <a:latin typeface="Avenir Next" panose="020B0503020202020204" pitchFamily="34" charset="0"/>
          </a:endParaRPr>
        </a:p>
      </xdr:txBody>
    </xdr:sp>
    <xdr:clientData/>
  </xdr:twoCellAnchor>
  <xdr:twoCellAnchor>
    <xdr:from>
      <xdr:col>16</xdr:col>
      <xdr:colOff>0</xdr:colOff>
      <xdr:row>61</xdr:row>
      <xdr:rowOff>0</xdr:rowOff>
    </xdr:from>
    <xdr:to>
      <xdr:col>18</xdr:col>
      <xdr:colOff>0</xdr:colOff>
      <xdr:row>62</xdr:row>
      <xdr:rowOff>0</xdr:rowOff>
    </xdr:to>
    <xdr:sp macro="[0]!Foglio4.ApplicaScenarioBaselineR" textlink="">
      <xdr:nvSpPr>
        <xdr:cNvPr id="10" name="Rettangolo 9">
          <a:extLst>
            <a:ext uri="{FF2B5EF4-FFF2-40B4-BE49-F238E27FC236}">
              <a16:creationId xmlns:a16="http://schemas.microsoft.com/office/drawing/2014/main" id="{4EA54D3D-CFBF-49EC-D30D-2DCD367C669A}"/>
            </a:ext>
          </a:extLst>
        </xdr:cNvPr>
        <xdr:cNvSpPr/>
      </xdr:nvSpPr>
      <xdr:spPr>
        <a:xfrm>
          <a:off x="17769840" y="15504160"/>
          <a:ext cx="1960880" cy="2032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a:latin typeface="Avenir Next" panose="020B0503020202020204" pitchFamily="34" charset="0"/>
            </a:rPr>
            <a:t>Baseline</a:t>
          </a:r>
        </a:p>
      </xdr:txBody>
    </xdr:sp>
    <xdr:clientData/>
  </xdr:twoCellAnchor>
  <xdr:twoCellAnchor>
    <xdr:from>
      <xdr:col>16</xdr:col>
      <xdr:colOff>0</xdr:colOff>
      <xdr:row>69</xdr:row>
      <xdr:rowOff>0</xdr:rowOff>
    </xdr:from>
    <xdr:to>
      <xdr:col>18</xdr:col>
      <xdr:colOff>0</xdr:colOff>
      <xdr:row>70</xdr:row>
      <xdr:rowOff>0</xdr:rowOff>
    </xdr:to>
    <xdr:sp macro="[0]!Foglio4.ApplicaScenarioPessimistaC" textlink="">
      <xdr:nvSpPr>
        <xdr:cNvPr id="11" name="Rettangolo 10">
          <a:extLst>
            <a:ext uri="{FF2B5EF4-FFF2-40B4-BE49-F238E27FC236}">
              <a16:creationId xmlns:a16="http://schemas.microsoft.com/office/drawing/2014/main" id="{84100E7C-F5F8-6E4E-BCB6-E8A8B9EBE977}"/>
            </a:ext>
          </a:extLst>
        </xdr:cNvPr>
        <xdr:cNvSpPr/>
      </xdr:nvSpPr>
      <xdr:spPr>
        <a:xfrm>
          <a:off x="17769840" y="15097760"/>
          <a:ext cx="1960880" cy="203200"/>
        </a:xfrm>
        <a:prstGeom prst="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b="0">
              <a:latin typeface="Avenir Next" panose="020B0503020202020204" pitchFamily="34" charset="0"/>
            </a:rPr>
            <a:t>Scenario</a:t>
          </a:r>
          <a:r>
            <a:rPr lang="it-IT" sz="1100" b="0" baseline="0">
              <a:latin typeface="Avenir Next" panose="020B0503020202020204" pitchFamily="34" charset="0"/>
            </a:rPr>
            <a:t> Pessimista</a:t>
          </a:r>
          <a:endParaRPr lang="it-IT" sz="1100" b="0">
            <a:latin typeface="Avenir Next" panose="020B0503020202020204" pitchFamily="34" charset="0"/>
          </a:endParaRPr>
        </a:p>
      </xdr:txBody>
    </xdr:sp>
    <xdr:clientData/>
  </xdr:twoCellAnchor>
  <xdr:twoCellAnchor>
    <xdr:from>
      <xdr:col>16</xdr:col>
      <xdr:colOff>0</xdr:colOff>
      <xdr:row>70</xdr:row>
      <xdr:rowOff>0</xdr:rowOff>
    </xdr:from>
    <xdr:to>
      <xdr:col>18</xdr:col>
      <xdr:colOff>0</xdr:colOff>
      <xdr:row>70</xdr:row>
      <xdr:rowOff>193040</xdr:rowOff>
    </xdr:to>
    <xdr:sp macro="[0]!Foglio4.ApplicaScenarioOttimistaC" textlink="">
      <xdr:nvSpPr>
        <xdr:cNvPr id="12" name="Rettangolo 11">
          <a:extLst>
            <a:ext uri="{FF2B5EF4-FFF2-40B4-BE49-F238E27FC236}">
              <a16:creationId xmlns:a16="http://schemas.microsoft.com/office/drawing/2014/main" id="{65B4DC85-2A0D-CA46-9BAD-836A2FF66354}"/>
            </a:ext>
          </a:extLst>
        </xdr:cNvPr>
        <xdr:cNvSpPr/>
      </xdr:nvSpPr>
      <xdr:spPr>
        <a:xfrm>
          <a:off x="17769840" y="15300960"/>
          <a:ext cx="1960880" cy="19304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a:latin typeface="Avenir Next" panose="020B0503020202020204" pitchFamily="34" charset="0"/>
            </a:rPr>
            <a:t>Scenario</a:t>
          </a:r>
          <a:r>
            <a:rPr lang="it-IT" sz="1100" baseline="0">
              <a:latin typeface="Avenir Next" panose="020B0503020202020204" pitchFamily="34" charset="0"/>
            </a:rPr>
            <a:t> Ottimista</a:t>
          </a:r>
          <a:endParaRPr lang="it-IT" sz="1100">
            <a:latin typeface="Avenir Next" panose="020B0503020202020204" pitchFamily="34" charset="0"/>
          </a:endParaRPr>
        </a:p>
      </xdr:txBody>
    </xdr:sp>
    <xdr:clientData/>
  </xdr:twoCellAnchor>
  <xdr:twoCellAnchor>
    <xdr:from>
      <xdr:col>16</xdr:col>
      <xdr:colOff>0</xdr:colOff>
      <xdr:row>71</xdr:row>
      <xdr:rowOff>0</xdr:rowOff>
    </xdr:from>
    <xdr:to>
      <xdr:col>18</xdr:col>
      <xdr:colOff>0</xdr:colOff>
      <xdr:row>72</xdr:row>
      <xdr:rowOff>0</xdr:rowOff>
    </xdr:to>
    <xdr:sp macro="[0]!Foglio4.ApplicaScenarioBaselineC" textlink="">
      <xdr:nvSpPr>
        <xdr:cNvPr id="13" name="Rettangolo 12">
          <a:extLst>
            <a:ext uri="{FF2B5EF4-FFF2-40B4-BE49-F238E27FC236}">
              <a16:creationId xmlns:a16="http://schemas.microsoft.com/office/drawing/2014/main" id="{D2651F73-0583-FC4F-AA1E-4C7C7F651139}"/>
            </a:ext>
          </a:extLst>
        </xdr:cNvPr>
        <xdr:cNvSpPr/>
      </xdr:nvSpPr>
      <xdr:spPr>
        <a:xfrm>
          <a:off x="17769840" y="15504160"/>
          <a:ext cx="1960880" cy="2032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a:latin typeface="Avenir Next" panose="020B0503020202020204" pitchFamily="34" charset="0"/>
            </a:rPr>
            <a:t>Baseline</a:t>
          </a:r>
        </a:p>
      </xdr:txBody>
    </xdr:sp>
    <xdr:clientData/>
  </xdr:twoCellAnchor>
  <xdr:twoCellAnchor>
    <xdr:from>
      <xdr:col>16</xdr:col>
      <xdr:colOff>0</xdr:colOff>
      <xdr:row>81</xdr:row>
      <xdr:rowOff>0</xdr:rowOff>
    </xdr:from>
    <xdr:to>
      <xdr:col>18</xdr:col>
      <xdr:colOff>0</xdr:colOff>
      <xdr:row>82</xdr:row>
      <xdr:rowOff>0</xdr:rowOff>
    </xdr:to>
    <xdr:sp macro="[0]!Foglio4.ApplicaScenarioPessimistaF" textlink="">
      <xdr:nvSpPr>
        <xdr:cNvPr id="14" name="Rettangolo 13">
          <a:extLst>
            <a:ext uri="{FF2B5EF4-FFF2-40B4-BE49-F238E27FC236}">
              <a16:creationId xmlns:a16="http://schemas.microsoft.com/office/drawing/2014/main" id="{0B61855F-1350-DE47-A006-27F075B2BB85}"/>
            </a:ext>
          </a:extLst>
        </xdr:cNvPr>
        <xdr:cNvSpPr/>
      </xdr:nvSpPr>
      <xdr:spPr>
        <a:xfrm>
          <a:off x="17769840" y="17139920"/>
          <a:ext cx="1960880" cy="203200"/>
        </a:xfrm>
        <a:prstGeom prst="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b="0">
              <a:latin typeface="Avenir Next" panose="020B0503020202020204" pitchFamily="34" charset="0"/>
            </a:rPr>
            <a:t>Scenario</a:t>
          </a:r>
          <a:r>
            <a:rPr lang="it-IT" sz="1100" b="0" baseline="0">
              <a:latin typeface="Avenir Next" panose="020B0503020202020204" pitchFamily="34" charset="0"/>
            </a:rPr>
            <a:t> Pessimista</a:t>
          </a:r>
          <a:endParaRPr lang="it-IT" sz="1100" b="0">
            <a:latin typeface="Avenir Next" panose="020B0503020202020204" pitchFamily="34" charset="0"/>
          </a:endParaRPr>
        </a:p>
      </xdr:txBody>
    </xdr:sp>
    <xdr:clientData/>
  </xdr:twoCellAnchor>
  <xdr:twoCellAnchor>
    <xdr:from>
      <xdr:col>16</xdr:col>
      <xdr:colOff>0</xdr:colOff>
      <xdr:row>82</xdr:row>
      <xdr:rowOff>0</xdr:rowOff>
    </xdr:from>
    <xdr:to>
      <xdr:col>18</xdr:col>
      <xdr:colOff>0</xdr:colOff>
      <xdr:row>82</xdr:row>
      <xdr:rowOff>193040</xdr:rowOff>
    </xdr:to>
    <xdr:sp macro="[0]!Foglio4.ApplicaScenarioOttimistaF" textlink="">
      <xdr:nvSpPr>
        <xdr:cNvPr id="15" name="Rettangolo 14">
          <a:extLst>
            <a:ext uri="{FF2B5EF4-FFF2-40B4-BE49-F238E27FC236}">
              <a16:creationId xmlns:a16="http://schemas.microsoft.com/office/drawing/2014/main" id="{BF4F6F63-F83D-E847-89E8-112529F4D509}"/>
            </a:ext>
          </a:extLst>
        </xdr:cNvPr>
        <xdr:cNvSpPr/>
      </xdr:nvSpPr>
      <xdr:spPr>
        <a:xfrm>
          <a:off x="17769840" y="17343120"/>
          <a:ext cx="1960880" cy="19304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a:latin typeface="Avenir Next" panose="020B0503020202020204" pitchFamily="34" charset="0"/>
            </a:rPr>
            <a:t>Scenario</a:t>
          </a:r>
          <a:r>
            <a:rPr lang="it-IT" sz="1100" baseline="0">
              <a:latin typeface="Avenir Next" panose="020B0503020202020204" pitchFamily="34" charset="0"/>
            </a:rPr>
            <a:t> Ottimista</a:t>
          </a:r>
          <a:endParaRPr lang="it-IT" sz="1100">
            <a:latin typeface="Avenir Next" panose="020B0503020202020204" pitchFamily="34" charset="0"/>
          </a:endParaRPr>
        </a:p>
      </xdr:txBody>
    </xdr:sp>
    <xdr:clientData/>
  </xdr:twoCellAnchor>
  <xdr:twoCellAnchor>
    <xdr:from>
      <xdr:col>16</xdr:col>
      <xdr:colOff>0</xdr:colOff>
      <xdr:row>83</xdr:row>
      <xdr:rowOff>0</xdr:rowOff>
    </xdr:from>
    <xdr:to>
      <xdr:col>18</xdr:col>
      <xdr:colOff>0</xdr:colOff>
      <xdr:row>84</xdr:row>
      <xdr:rowOff>0</xdr:rowOff>
    </xdr:to>
    <xdr:sp macro="[0]!Foglio4.ApplicaScenarioBaselineF" textlink="">
      <xdr:nvSpPr>
        <xdr:cNvPr id="16" name="Rettangolo 15">
          <a:extLst>
            <a:ext uri="{FF2B5EF4-FFF2-40B4-BE49-F238E27FC236}">
              <a16:creationId xmlns:a16="http://schemas.microsoft.com/office/drawing/2014/main" id="{EEFDA03E-6034-0A45-8484-09662CB39AA1}"/>
            </a:ext>
          </a:extLst>
        </xdr:cNvPr>
        <xdr:cNvSpPr/>
      </xdr:nvSpPr>
      <xdr:spPr>
        <a:xfrm>
          <a:off x="17769840" y="17546320"/>
          <a:ext cx="1960880" cy="2032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a:latin typeface="Avenir Next" panose="020B0503020202020204" pitchFamily="34" charset="0"/>
            </a:rPr>
            <a:t>Baseline</a:t>
          </a:r>
        </a:p>
      </xdr:txBody>
    </xdr:sp>
    <xdr:clientData/>
  </xdr:twoCellAnchor>
  <xdr:twoCellAnchor>
    <xdr:from>
      <xdr:col>16</xdr:col>
      <xdr:colOff>0</xdr:colOff>
      <xdr:row>90</xdr:row>
      <xdr:rowOff>0</xdr:rowOff>
    </xdr:from>
    <xdr:to>
      <xdr:col>18</xdr:col>
      <xdr:colOff>0</xdr:colOff>
      <xdr:row>91</xdr:row>
      <xdr:rowOff>0</xdr:rowOff>
    </xdr:to>
    <xdr:sp macro="[0]!Foglio4.ApplicaScenarioPessimistaCC" textlink="">
      <xdr:nvSpPr>
        <xdr:cNvPr id="17" name="Rettangolo 16">
          <a:extLst>
            <a:ext uri="{FF2B5EF4-FFF2-40B4-BE49-F238E27FC236}">
              <a16:creationId xmlns:a16="http://schemas.microsoft.com/office/drawing/2014/main" id="{D4B5A401-C56C-D54F-B756-EEB0847F6617}"/>
            </a:ext>
          </a:extLst>
        </xdr:cNvPr>
        <xdr:cNvSpPr/>
      </xdr:nvSpPr>
      <xdr:spPr>
        <a:xfrm>
          <a:off x="17769840" y="17139920"/>
          <a:ext cx="1960880" cy="203200"/>
        </a:xfrm>
        <a:prstGeom prst="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b="0">
              <a:latin typeface="Avenir Next" panose="020B0503020202020204" pitchFamily="34" charset="0"/>
            </a:rPr>
            <a:t>Scenario</a:t>
          </a:r>
          <a:r>
            <a:rPr lang="it-IT" sz="1100" b="0" baseline="0">
              <a:latin typeface="Avenir Next" panose="020B0503020202020204" pitchFamily="34" charset="0"/>
            </a:rPr>
            <a:t> Pessimista</a:t>
          </a:r>
          <a:endParaRPr lang="it-IT" sz="1100" b="0">
            <a:latin typeface="Avenir Next" panose="020B0503020202020204" pitchFamily="34" charset="0"/>
          </a:endParaRPr>
        </a:p>
      </xdr:txBody>
    </xdr:sp>
    <xdr:clientData/>
  </xdr:twoCellAnchor>
  <xdr:twoCellAnchor>
    <xdr:from>
      <xdr:col>16</xdr:col>
      <xdr:colOff>0</xdr:colOff>
      <xdr:row>91</xdr:row>
      <xdr:rowOff>0</xdr:rowOff>
    </xdr:from>
    <xdr:to>
      <xdr:col>18</xdr:col>
      <xdr:colOff>0</xdr:colOff>
      <xdr:row>91</xdr:row>
      <xdr:rowOff>193040</xdr:rowOff>
    </xdr:to>
    <xdr:sp macro="[0]!Foglio4.ApplicaScenarioOttimistaCC" textlink="">
      <xdr:nvSpPr>
        <xdr:cNvPr id="18" name="Rettangolo 17">
          <a:extLst>
            <a:ext uri="{FF2B5EF4-FFF2-40B4-BE49-F238E27FC236}">
              <a16:creationId xmlns:a16="http://schemas.microsoft.com/office/drawing/2014/main" id="{B09416DE-F865-E145-81D4-971260E142AA}"/>
            </a:ext>
          </a:extLst>
        </xdr:cNvPr>
        <xdr:cNvSpPr/>
      </xdr:nvSpPr>
      <xdr:spPr>
        <a:xfrm>
          <a:off x="17769840" y="17343120"/>
          <a:ext cx="1960880" cy="19304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a:latin typeface="Avenir Next" panose="020B0503020202020204" pitchFamily="34" charset="0"/>
            </a:rPr>
            <a:t>Scenario</a:t>
          </a:r>
          <a:r>
            <a:rPr lang="it-IT" sz="1100" baseline="0">
              <a:latin typeface="Avenir Next" panose="020B0503020202020204" pitchFamily="34" charset="0"/>
            </a:rPr>
            <a:t> Ottimista</a:t>
          </a:r>
          <a:endParaRPr lang="it-IT" sz="1100">
            <a:latin typeface="Avenir Next" panose="020B0503020202020204" pitchFamily="34" charset="0"/>
          </a:endParaRPr>
        </a:p>
      </xdr:txBody>
    </xdr:sp>
    <xdr:clientData/>
  </xdr:twoCellAnchor>
  <xdr:twoCellAnchor>
    <xdr:from>
      <xdr:col>16</xdr:col>
      <xdr:colOff>0</xdr:colOff>
      <xdr:row>92</xdr:row>
      <xdr:rowOff>0</xdr:rowOff>
    </xdr:from>
    <xdr:to>
      <xdr:col>18</xdr:col>
      <xdr:colOff>0</xdr:colOff>
      <xdr:row>93</xdr:row>
      <xdr:rowOff>0</xdr:rowOff>
    </xdr:to>
    <xdr:sp macro="[0]!Foglio4.ApplicaScenarioBaselineCC" textlink="">
      <xdr:nvSpPr>
        <xdr:cNvPr id="19" name="Rettangolo 18">
          <a:extLst>
            <a:ext uri="{FF2B5EF4-FFF2-40B4-BE49-F238E27FC236}">
              <a16:creationId xmlns:a16="http://schemas.microsoft.com/office/drawing/2014/main" id="{3EF09FE5-D08A-B64C-8B95-37E7F507ECD8}"/>
            </a:ext>
          </a:extLst>
        </xdr:cNvPr>
        <xdr:cNvSpPr/>
      </xdr:nvSpPr>
      <xdr:spPr>
        <a:xfrm>
          <a:off x="17769840" y="17546320"/>
          <a:ext cx="1960880" cy="20320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100">
              <a:latin typeface="Avenir Next" panose="020B0503020202020204" pitchFamily="34" charset="0"/>
            </a:rPr>
            <a:t>Baseline</a:t>
          </a:r>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polimi365-my.sharepoint.com/personal/10850069_polimi_it/Documents/Finance%20Lab/Mckinsey/Mediobanca/Analisi%20dei%20multipli.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A14B2-97C7-674F-AA4E-6ACA8ED19097}">
  <sheetPr codeName="Foglio1"/>
  <dimension ref="A1:H36"/>
  <sheetViews>
    <sheetView showGridLines="0" tabSelected="1" zoomScale="88" workbookViewId="0">
      <selection activeCell="K15" sqref="K15"/>
    </sheetView>
  </sheetViews>
  <sheetFormatPr baseColWidth="10" defaultColWidth="10.6640625" defaultRowHeight="16"/>
  <sheetData>
    <row r="1" spans="1:8">
      <c r="A1" s="46"/>
      <c r="B1" s="46"/>
      <c r="C1" s="46"/>
      <c r="D1" s="46"/>
      <c r="E1" s="46"/>
      <c r="F1" s="46"/>
      <c r="G1" s="46"/>
      <c r="H1" s="46"/>
    </row>
    <row r="2" spans="1:8" ht="21" thickBot="1">
      <c r="A2" s="46"/>
      <c r="B2" s="253" t="s">
        <v>78</v>
      </c>
      <c r="C2" s="253"/>
      <c r="D2" s="253"/>
      <c r="E2" s="253"/>
      <c r="F2" s="253"/>
      <c r="G2" s="253"/>
      <c r="H2" s="46"/>
    </row>
    <row r="3" spans="1:8" ht="17">
      <c r="A3" s="46"/>
      <c r="B3" s="254" t="s">
        <v>72</v>
      </c>
      <c r="C3" s="254"/>
      <c r="D3" s="254"/>
      <c r="E3" s="254"/>
      <c r="F3" s="254"/>
      <c r="G3" s="254"/>
      <c r="H3" s="46"/>
    </row>
    <row r="4" spans="1:8">
      <c r="A4" s="261"/>
      <c r="B4" s="261"/>
      <c r="C4" s="261"/>
      <c r="D4" s="261"/>
      <c r="E4" s="261"/>
      <c r="F4" s="261"/>
      <c r="G4" s="261"/>
      <c r="H4" s="46"/>
    </row>
    <row r="5" spans="1:8" ht="17">
      <c r="F5" s="262" t="s">
        <v>73</v>
      </c>
      <c r="G5" s="262"/>
      <c r="H5" s="262"/>
    </row>
    <row r="6" spans="1:8" ht="20">
      <c r="A6" s="257" t="s">
        <v>77</v>
      </c>
      <c r="B6" s="257"/>
      <c r="C6" s="257"/>
      <c r="D6" s="257"/>
      <c r="E6" s="257"/>
      <c r="F6" s="257"/>
      <c r="G6" s="257"/>
      <c r="H6" s="46"/>
    </row>
    <row r="7" spans="1:8" ht="20">
      <c r="A7" s="49"/>
      <c r="B7" s="49"/>
      <c r="C7" s="49"/>
      <c r="D7" s="49"/>
      <c r="E7" s="49"/>
      <c r="F7" s="49"/>
      <c r="G7" s="49"/>
    </row>
    <row r="8" spans="1:8" ht="18" thickBot="1">
      <c r="A8" s="51" t="s">
        <v>74</v>
      </c>
      <c r="B8" s="52"/>
      <c r="C8" s="52"/>
      <c r="D8" s="52"/>
      <c r="E8" s="52"/>
      <c r="F8" s="52"/>
      <c r="G8" s="53"/>
      <c r="H8" s="181">
        <v>1</v>
      </c>
    </row>
    <row r="9" spans="1:8" ht="16" customHeight="1">
      <c r="A9" s="258" t="s">
        <v>221</v>
      </c>
      <c r="B9" s="258"/>
      <c r="C9" s="258"/>
      <c r="D9" s="258"/>
      <c r="E9" s="258"/>
      <c r="F9" s="258"/>
      <c r="G9" s="258"/>
      <c r="H9" s="48"/>
    </row>
    <row r="10" spans="1:8">
      <c r="A10" s="258"/>
      <c r="B10" s="258"/>
      <c r="C10" s="258"/>
      <c r="D10" s="258"/>
      <c r="E10" s="258"/>
      <c r="F10" s="258"/>
      <c r="G10" s="258"/>
      <c r="H10" s="48"/>
    </row>
    <row r="11" spans="1:8">
      <c r="A11" s="258"/>
      <c r="B11" s="258"/>
      <c r="C11" s="258"/>
      <c r="D11" s="258"/>
      <c r="E11" s="258"/>
      <c r="F11" s="258"/>
      <c r="G11" s="258"/>
      <c r="H11" s="48"/>
    </row>
    <row r="12" spans="1:8">
      <c r="A12" s="258"/>
      <c r="B12" s="258"/>
      <c r="C12" s="258"/>
      <c r="D12" s="258"/>
      <c r="E12" s="258"/>
      <c r="F12" s="258"/>
      <c r="G12" s="258"/>
      <c r="H12" s="48"/>
    </row>
    <row r="13" spans="1:8" ht="17" customHeight="1">
      <c r="A13" s="258"/>
      <c r="B13" s="258"/>
      <c r="C13" s="258"/>
      <c r="D13" s="258"/>
      <c r="E13" s="258"/>
      <c r="F13" s="258"/>
      <c r="G13" s="258"/>
      <c r="H13" s="48"/>
    </row>
    <row r="14" spans="1:8" ht="17" customHeight="1">
      <c r="A14" s="258"/>
      <c r="B14" s="258"/>
      <c r="C14" s="258"/>
      <c r="D14" s="258"/>
      <c r="E14" s="258"/>
      <c r="F14" s="258"/>
      <c r="G14" s="258"/>
      <c r="H14" s="48"/>
    </row>
    <row r="15" spans="1:8" ht="17" customHeight="1">
      <c r="A15" s="47"/>
      <c r="B15" s="47"/>
      <c r="C15" s="47"/>
      <c r="D15" s="47"/>
      <c r="E15" s="47"/>
      <c r="F15" s="47"/>
      <c r="G15" s="47"/>
      <c r="H15" s="48"/>
    </row>
    <row r="16" spans="1:8" ht="18" thickBot="1">
      <c r="A16" s="51" t="s">
        <v>75</v>
      </c>
      <c r="B16" s="52"/>
      <c r="C16" s="52"/>
      <c r="D16" s="52"/>
      <c r="E16" s="52"/>
      <c r="F16" s="52"/>
      <c r="G16" s="54"/>
      <c r="H16" s="181">
        <v>2</v>
      </c>
    </row>
    <row r="17" spans="1:8" ht="17" customHeight="1">
      <c r="A17" s="259" t="s">
        <v>220</v>
      </c>
      <c r="B17" s="259"/>
      <c r="C17" s="259"/>
      <c r="D17" s="259"/>
      <c r="E17" s="259"/>
      <c r="F17" s="259"/>
      <c r="G17" s="259"/>
      <c r="H17" s="50"/>
    </row>
    <row r="18" spans="1:8" ht="16" customHeight="1">
      <c r="A18" s="260"/>
      <c r="B18" s="260"/>
      <c r="C18" s="260"/>
      <c r="D18" s="260"/>
      <c r="E18" s="260"/>
      <c r="F18" s="260"/>
      <c r="G18" s="260"/>
    </row>
    <row r="19" spans="1:8" ht="16" customHeight="1">
      <c r="A19" s="260"/>
      <c r="B19" s="260"/>
      <c r="C19" s="260"/>
      <c r="D19" s="260"/>
      <c r="E19" s="260"/>
      <c r="F19" s="260"/>
      <c r="G19" s="260"/>
    </row>
    <row r="20" spans="1:8" ht="16" customHeight="1">
      <c r="A20" s="260"/>
      <c r="B20" s="260"/>
      <c r="C20" s="260"/>
      <c r="D20" s="260"/>
      <c r="E20" s="260"/>
      <c r="F20" s="260"/>
      <c r="G20" s="260"/>
    </row>
    <row r="21" spans="1:8" ht="16" customHeight="1">
      <c r="A21" s="260"/>
      <c r="B21" s="260"/>
      <c r="C21" s="260"/>
      <c r="D21" s="260"/>
      <c r="E21" s="260"/>
      <c r="F21" s="260"/>
      <c r="G21" s="260"/>
    </row>
    <row r="22" spans="1:8" ht="16" customHeight="1">
      <c r="A22" s="260"/>
      <c r="B22" s="260"/>
      <c r="C22" s="260"/>
      <c r="D22" s="260"/>
      <c r="E22" s="260"/>
      <c r="F22" s="260"/>
      <c r="G22" s="260"/>
    </row>
    <row r="23" spans="1:8">
      <c r="A23" s="260"/>
      <c r="B23" s="260"/>
      <c r="C23" s="260"/>
      <c r="D23" s="260"/>
      <c r="E23" s="260"/>
      <c r="F23" s="260"/>
      <c r="G23" s="260"/>
    </row>
    <row r="24" spans="1:8" ht="17" customHeight="1">
      <c r="A24" s="260"/>
      <c r="B24" s="260"/>
      <c r="C24" s="260"/>
      <c r="D24" s="260"/>
      <c r="E24" s="260"/>
      <c r="F24" s="260"/>
      <c r="G24" s="260"/>
    </row>
    <row r="25" spans="1:8" ht="18" thickBot="1">
      <c r="A25" s="51" t="s">
        <v>157</v>
      </c>
      <c r="B25" s="52"/>
      <c r="C25" s="52"/>
      <c r="D25" s="52"/>
      <c r="E25" s="52"/>
      <c r="F25" s="52"/>
      <c r="G25" s="53"/>
      <c r="H25" s="181">
        <v>3</v>
      </c>
    </row>
    <row r="26" spans="1:8" ht="16" customHeight="1">
      <c r="A26" s="255" t="s">
        <v>219</v>
      </c>
      <c r="B26" s="255"/>
      <c r="C26" s="255"/>
      <c r="D26" s="255"/>
      <c r="E26" s="255"/>
      <c r="F26" s="255"/>
      <c r="G26" s="255"/>
      <c r="H26" s="255"/>
    </row>
    <row r="27" spans="1:8">
      <c r="A27" s="256"/>
      <c r="B27" s="256"/>
      <c r="C27" s="256"/>
      <c r="D27" s="256"/>
      <c r="E27" s="256"/>
      <c r="F27" s="256"/>
      <c r="G27" s="256"/>
      <c r="H27" s="256"/>
    </row>
    <row r="28" spans="1:8">
      <c r="A28" s="256"/>
      <c r="B28" s="256"/>
      <c r="C28" s="256"/>
      <c r="D28" s="256"/>
      <c r="E28" s="256"/>
      <c r="F28" s="256"/>
      <c r="G28" s="256"/>
      <c r="H28" s="256"/>
    </row>
    <row r="29" spans="1:8">
      <c r="A29" s="256"/>
      <c r="B29" s="256"/>
      <c r="C29" s="256"/>
      <c r="D29" s="256"/>
      <c r="E29" s="256"/>
      <c r="F29" s="256"/>
      <c r="G29" s="256"/>
      <c r="H29" s="256"/>
    </row>
    <row r="30" spans="1:8">
      <c r="A30" s="256"/>
      <c r="B30" s="256"/>
      <c r="C30" s="256"/>
      <c r="D30" s="256"/>
      <c r="E30" s="256"/>
      <c r="F30" s="256"/>
      <c r="G30" s="256"/>
      <c r="H30" s="256"/>
    </row>
    <row r="31" spans="1:8">
      <c r="A31" s="256"/>
      <c r="B31" s="256"/>
      <c r="C31" s="256"/>
      <c r="D31" s="256"/>
      <c r="E31" s="256"/>
      <c r="F31" s="256"/>
      <c r="G31" s="256"/>
      <c r="H31" s="256"/>
    </row>
    <row r="32" spans="1:8">
      <c r="A32" s="256"/>
      <c r="B32" s="256"/>
      <c r="C32" s="256"/>
      <c r="D32" s="256"/>
      <c r="E32" s="256"/>
      <c r="F32" s="256"/>
      <c r="G32" s="256"/>
      <c r="H32" s="256"/>
    </row>
    <row r="33" spans="1:8" ht="18" thickBot="1">
      <c r="A33" s="51" t="s">
        <v>107</v>
      </c>
      <c r="B33" s="52"/>
      <c r="C33" s="52"/>
      <c r="D33" s="52"/>
      <c r="E33" s="52"/>
      <c r="F33" s="52"/>
      <c r="G33" s="53"/>
      <c r="H33" s="181">
        <v>4</v>
      </c>
    </row>
    <row r="34" spans="1:8">
      <c r="A34" s="127"/>
      <c r="B34" s="127"/>
      <c r="C34" s="127"/>
      <c r="D34" s="127"/>
      <c r="E34" s="127"/>
      <c r="F34" s="127"/>
      <c r="G34" s="127"/>
    </row>
    <row r="35" spans="1:8">
      <c r="A35" s="127"/>
      <c r="B35" s="127"/>
      <c r="C35" s="127"/>
      <c r="D35" s="127"/>
      <c r="E35" s="127"/>
      <c r="F35" s="127"/>
      <c r="G35" s="127"/>
    </row>
    <row r="36" spans="1:8">
      <c r="A36" s="127"/>
      <c r="B36" s="127"/>
      <c r="C36" s="127"/>
      <c r="D36" s="127"/>
      <c r="E36" s="127"/>
      <c r="F36" s="127"/>
      <c r="G36" s="127"/>
    </row>
  </sheetData>
  <mergeCells count="8">
    <mergeCell ref="B2:G2"/>
    <mergeCell ref="B3:G3"/>
    <mergeCell ref="A26:H32"/>
    <mergeCell ref="A6:G6"/>
    <mergeCell ref="A9:G14"/>
    <mergeCell ref="A17:G24"/>
    <mergeCell ref="A4:G4"/>
    <mergeCell ref="F5:H5"/>
  </mergeCells>
  <phoneticPr fontId="16" type="noConversion"/>
  <hyperlinks>
    <hyperlink ref="H8" location="'Performance di Mercato'!A1" display="'Performance di Mercato'!A1" xr:uid="{E1E7E245-1E3A-F944-8385-278D97517719}"/>
    <hyperlink ref="H16" location="'Drivers di valutazione'!A1" display="'Drivers di valutazione'!A1" xr:uid="{D9B5E743-C821-7C4C-95DB-19D8CB418DC0}"/>
    <hyperlink ref="H25" location="'OPS su BG'!A1" display="'OPS su BG'!A1" xr:uid="{9B47317C-CDE6-164D-B317-D3500224D94D}"/>
    <hyperlink ref="H33" location="Fonti!A1" display="Fonti!A1" xr:uid="{CA597F73-8D37-6C4D-9235-C15DE622B2C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8841-89CF-6243-A20F-8F2452F4CDF8}">
  <sheetPr codeName="Foglio2"/>
  <dimension ref="A1:AH228"/>
  <sheetViews>
    <sheetView showGridLines="0" zoomScale="62" zoomScaleNormal="89" workbookViewId="0">
      <selection activeCell="C184" sqref="C184"/>
    </sheetView>
  </sheetViews>
  <sheetFormatPr baseColWidth="10" defaultColWidth="8.83203125" defaultRowHeight="15"/>
  <cols>
    <col min="1" max="1" width="8.83203125" style="1"/>
    <col min="2" max="2" width="9" style="1" bestFit="1" customWidth="1"/>
    <col min="3" max="3" width="9.5" style="1" bestFit="1" customWidth="1"/>
    <col min="4" max="4" width="11.5" style="1" bestFit="1" customWidth="1"/>
    <col min="5" max="6" width="9" style="1" bestFit="1" customWidth="1"/>
    <col min="7" max="14" width="8.83203125" style="1"/>
    <col min="15" max="15" width="9.5" style="1" bestFit="1" customWidth="1"/>
    <col min="16" max="24" width="8.83203125" style="1"/>
    <col min="25" max="25" width="18.33203125" style="1" bestFit="1" customWidth="1"/>
    <col min="26" max="27" width="8.83203125" style="1"/>
    <col min="28" max="28" width="9.1640625" style="1" bestFit="1" customWidth="1"/>
    <col min="29" max="30" width="9.5" style="1" bestFit="1" customWidth="1"/>
    <col min="31" max="31" width="10" style="1" bestFit="1" customWidth="1"/>
    <col min="32" max="32" width="9.83203125" style="1" bestFit="1" customWidth="1"/>
    <col min="33" max="33" width="9.5" style="1" bestFit="1" customWidth="1"/>
    <col min="34" max="34" width="18.5" style="1" customWidth="1"/>
    <col min="35" max="35" width="9.83203125" style="1" bestFit="1" customWidth="1"/>
    <col min="36" max="36" width="24.5" style="1" customWidth="1"/>
    <col min="37" max="38" width="9.1640625" style="1" bestFit="1" customWidth="1"/>
    <col min="39" max="39" width="8.83203125" style="1"/>
    <col min="40" max="40" width="9.1640625" style="1" bestFit="1" customWidth="1"/>
    <col min="41" max="16384" width="8.83203125" style="1"/>
  </cols>
  <sheetData>
    <row r="1" spans="1:25" ht="16">
      <c r="A1" s="26" t="s">
        <v>79</v>
      </c>
      <c r="B1" s="55"/>
      <c r="C1" s="55"/>
      <c r="D1" s="55"/>
      <c r="E1" s="55"/>
      <c r="F1" s="55"/>
      <c r="G1" s="55"/>
      <c r="H1" s="55"/>
      <c r="I1" s="55"/>
      <c r="J1" s="55"/>
      <c r="K1" s="55"/>
      <c r="L1" s="55"/>
      <c r="M1" s="55"/>
      <c r="N1" s="55"/>
      <c r="O1" s="55"/>
      <c r="P1" s="55"/>
      <c r="Q1" s="55"/>
      <c r="R1" s="55"/>
      <c r="S1" s="55"/>
      <c r="T1" s="55"/>
      <c r="U1" s="55"/>
      <c r="V1" s="55"/>
      <c r="W1" s="180"/>
      <c r="X1" s="8"/>
      <c r="Y1" s="8"/>
    </row>
    <row r="2" spans="1:25" ht="27" thickBot="1">
      <c r="A2" s="26"/>
      <c r="B2" s="55"/>
      <c r="C2" s="55"/>
      <c r="D2" s="55"/>
      <c r="E2" s="278" t="s">
        <v>65</v>
      </c>
      <c r="F2" s="278"/>
      <c r="G2" s="278"/>
      <c r="H2" s="278"/>
      <c r="I2" s="278"/>
      <c r="J2" s="278"/>
      <c r="K2" s="278"/>
      <c r="L2" s="278"/>
      <c r="M2" s="278"/>
      <c r="N2" s="278"/>
      <c r="O2" s="278"/>
      <c r="P2" s="278"/>
      <c r="Q2" s="278"/>
      <c r="R2" s="278"/>
      <c r="S2" s="55"/>
      <c r="T2" s="55"/>
      <c r="U2" s="55"/>
      <c r="V2" s="55"/>
      <c r="W2" s="58"/>
      <c r="X2" s="8"/>
      <c r="Y2" s="8"/>
    </row>
    <row r="3" spans="1:25" ht="19">
      <c r="A3" s="26"/>
      <c r="B3" s="55"/>
      <c r="C3" s="55"/>
      <c r="D3" s="55"/>
      <c r="E3" s="279" t="s">
        <v>80</v>
      </c>
      <c r="F3" s="279"/>
      <c r="G3" s="279"/>
      <c r="H3" s="279"/>
      <c r="I3" s="279"/>
      <c r="J3" s="279"/>
      <c r="K3" s="279"/>
      <c r="L3" s="279"/>
      <c r="M3" s="279"/>
      <c r="N3" s="279"/>
      <c r="O3" s="279"/>
      <c r="P3" s="279"/>
      <c r="Q3" s="279"/>
      <c r="R3" s="279"/>
      <c r="S3" s="55"/>
      <c r="T3" s="55"/>
      <c r="U3" s="55"/>
      <c r="V3" s="55"/>
      <c r="W3" s="58"/>
      <c r="X3" s="8"/>
      <c r="Y3" s="8"/>
    </row>
    <row r="4" spans="1:25" ht="16">
      <c r="A4" s="26"/>
      <c r="B4" s="55"/>
      <c r="C4" s="55"/>
      <c r="D4" s="55"/>
      <c r="E4" s="55"/>
      <c r="F4" s="55"/>
      <c r="G4" s="55"/>
      <c r="H4" s="55"/>
      <c r="I4" s="55"/>
      <c r="J4" s="55"/>
      <c r="K4" s="55"/>
      <c r="L4" s="55"/>
      <c r="M4" s="55"/>
      <c r="N4" s="55"/>
      <c r="O4" s="55"/>
      <c r="P4" s="55"/>
      <c r="Q4" s="55"/>
      <c r="R4" s="55"/>
      <c r="S4" s="55"/>
      <c r="T4" s="55"/>
      <c r="U4" s="55"/>
      <c r="V4" s="55"/>
      <c r="W4" s="58"/>
      <c r="X4" s="8"/>
      <c r="Y4" s="8"/>
    </row>
    <row r="5" spans="1:25" ht="13" customHeight="1">
      <c r="B5" s="143"/>
      <c r="C5" s="143"/>
      <c r="D5" s="143"/>
      <c r="E5" s="143"/>
      <c r="F5" s="143"/>
      <c r="G5" s="143"/>
      <c r="H5" s="143"/>
      <c r="I5" s="143"/>
      <c r="J5" s="143"/>
      <c r="K5" s="143"/>
      <c r="L5" s="143"/>
      <c r="M5" s="143"/>
      <c r="N5" s="143"/>
      <c r="O5" s="143"/>
      <c r="P5" s="143"/>
      <c r="Q5" s="143"/>
      <c r="R5" s="143"/>
      <c r="S5" s="143"/>
      <c r="T5" s="143"/>
      <c r="U5" s="143"/>
      <c r="V5" s="144"/>
      <c r="W5" s="58"/>
      <c r="X5" s="8"/>
      <c r="Y5" s="8"/>
    </row>
    <row r="6" spans="1:25" ht="31" customHeight="1" thickBot="1">
      <c r="A6" s="147" t="s">
        <v>100</v>
      </c>
      <c r="B6" s="141"/>
      <c r="C6" s="141"/>
      <c r="D6" s="141"/>
      <c r="E6" s="141"/>
      <c r="F6" s="141"/>
      <c r="G6" s="141"/>
      <c r="H6" s="141"/>
      <c r="I6" s="141"/>
      <c r="J6" s="141"/>
      <c r="K6" s="141"/>
      <c r="L6" s="141"/>
      <c r="M6" s="141"/>
      <c r="N6" s="141"/>
      <c r="O6" s="141"/>
      <c r="P6" s="141"/>
      <c r="Q6" s="141"/>
      <c r="R6" s="141"/>
      <c r="S6" s="141"/>
      <c r="T6" s="141"/>
      <c r="U6" s="141"/>
      <c r="V6" s="142"/>
      <c r="W6" s="58"/>
      <c r="X6" s="8"/>
      <c r="Y6" s="8"/>
    </row>
    <row r="7" spans="1:25">
      <c r="W7" s="58"/>
      <c r="X7" s="8"/>
      <c r="Y7" s="8"/>
    </row>
    <row r="8" spans="1:25">
      <c r="A8" s="264" t="s">
        <v>173</v>
      </c>
      <c r="B8" s="264"/>
      <c r="C8" s="264"/>
      <c r="D8" s="264"/>
      <c r="E8" s="264"/>
      <c r="F8" s="264"/>
      <c r="G8" s="264"/>
      <c r="H8" s="264"/>
      <c r="I8" s="264"/>
      <c r="J8" s="264"/>
      <c r="K8" s="264"/>
      <c r="L8" s="264"/>
      <c r="M8" s="264"/>
      <c r="N8" s="264"/>
      <c r="O8" s="264"/>
      <c r="P8" s="264"/>
      <c r="Q8" s="264"/>
      <c r="R8" s="264"/>
      <c r="S8" s="264"/>
      <c r="T8" s="264"/>
      <c r="U8" s="264"/>
      <c r="V8" s="264"/>
      <c r="W8" s="58"/>
      <c r="X8" s="8"/>
      <c r="Y8" s="8"/>
    </row>
    <row r="9" spans="1:25" ht="27" customHeight="1">
      <c r="A9" s="264"/>
      <c r="B9" s="264"/>
      <c r="C9" s="264"/>
      <c r="D9" s="264"/>
      <c r="E9" s="264"/>
      <c r="F9" s="264"/>
      <c r="G9" s="264"/>
      <c r="H9" s="264"/>
      <c r="I9" s="264"/>
      <c r="J9" s="264"/>
      <c r="K9" s="264"/>
      <c r="L9" s="264"/>
      <c r="M9" s="264"/>
      <c r="N9" s="264"/>
      <c r="O9" s="264"/>
      <c r="P9" s="264"/>
      <c r="Q9" s="264"/>
      <c r="R9" s="264"/>
      <c r="S9" s="264"/>
      <c r="T9" s="264"/>
      <c r="U9" s="264"/>
      <c r="V9" s="264"/>
      <c r="W9" s="58"/>
      <c r="X9" s="8"/>
      <c r="Y9" s="8"/>
    </row>
    <row r="10" spans="1:25">
      <c r="W10" s="58"/>
      <c r="X10" s="8"/>
      <c r="Y10" s="8"/>
    </row>
    <row r="11" spans="1:25" ht="20" thickBot="1">
      <c r="A11" s="280" t="s">
        <v>99</v>
      </c>
      <c r="B11" s="280"/>
      <c r="C11" s="280"/>
      <c r="D11" s="280"/>
      <c r="E11" s="280"/>
      <c r="F11" s="280"/>
      <c r="G11" s="280"/>
      <c r="W11" s="58"/>
      <c r="X11" s="8"/>
      <c r="Y11" s="8"/>
    </row>
    <row r="12" spans="1:25" ht="15" customHeight="1">
      <c r="A12" s="264" t="s">
        <v>105</v>
      </c>
      <c r="B12" s="264"/>
      <c r="C12" s="264"/>
      <c r="D12" s="264"/>
      <c r="E12" s="264"/>
      <c r="F12" s="264"/>
      <c r="G12" s="264"/>
      <c r="H12" s="264"/>
      <c r="I12" s="264"/>
      <c r="J12" s="264"/>
      <c r="K12" s="264"/>
      <c r="L12" s="264"/>
      <c r="M12" s="264"/>
      <c r="N12" s="264"/>
      <c r="O12" s="264"/>
      <c r="P12" s="264"/>
      <c r="Q12" s="264"/>
      <c r="R12" s="264"/>
      <c r="S12" s="264"/>
      <c r="T12" s="264"/>
      <c r="U12" s="264"/>
      <c r="V12" s="265"/>
      <c r="W12" s="58"/>
      <c r="X12" s="8"/>
      <c r="Y12" s="8"/>
    </row>
    <row r="13" spans="1:25" ht="20" customHeight="1">
      <c r="A13" s="264"/>
      <c r="B13" s="264"/>
      <c r="C13" s="264"/>
      <c r="D13" s="264"/>
      <c r="E13" s="264"/>
      <c r="F13" s="264"/>
      <c r="G13" s="264"/>
      <c r="H13" s="264"/>
      <c r="I13" s="264"/>
      <c r="J13" s="264"/>
      <c r="K13" s="264"/>
      <c r="L13" s="264"/>
      <c r="M13" s="264"/>
      <c r="N13" s="264"/>
      <c r="O13" s="264"/>
      <c r="P13" s="264"/>
      <c r="Q13" s="264"/>
      <c r="R13" s="264"/>
      <c r="S13" s="264"/>
      <c r="T13" s="264"/>
      <c r="U13" s="264"/>
      <c r="V13" s="265"/>
      <c r="W13" s="58"/>
      <c r="X13" s="8"/>
      <c r="Y13" s="8"/>
    </row>
    <row r="14" spans="1:25" ht="15" customHeight="1">
      <c r="A14" s="56"/>
      <c r="B14" s="56"/>
      <c r="C14" s="56"/>
      <c r="D14" s="56"/>
      <c r="E14" s="56"/>
      <c r="F14" s="56"/>
      <c r="G14" s="56"/>
      <c r="H14" s="56"/>
      <c r="I14" s="56"/>
      <c r="J14" s="56"/>
      <c r="K14" s="56"/>
      <c r="L14" s="56"/>
      <c r="M14" s="56"/>
      <c r="N14" s="56"/>
      <c r="O14" s="56"/>
      <c r="P14" s="56"/>
      <c r="Q14" s="56"/>
      <c r="R14" s="56"/>
      <c r="S14" s="56"/>
      <c r="T14" s="56"/>
      <c r="U14" s="56"/>
      <c r="V14" s="56"/>
      <c r="W14" s="58"/>
      <c r="X14" s="8"/>
      <c r="Y14" s="8"/>
    </row>
    <row r="15" spans="1:25" ht="15" customHeight="1">
      <c r="A15" s="277" t="s">
        <v>106</v>
      </c>
      <c r="B15" s="277"/>
      <c r="C15" s="277"/>
      <c r="D15" s="277"/>
      <c r="E15" s="277"/>
      <c r="F15" s="277"/>
      <c r="G15" s="277"/>
      <c r="H15" s="277"/>
      <c r="I15" s="121"/>
      <c r="W15" s="58"/>
      <c r="X15" s="8"/>
      <c r="Y15" s="8"/>
    </row>
    <row r="16" spans="1:25" ht="15" customHeight="1">
      <c r="A16" s="277"/>
      <c r="B16" s="277"/>
      <c r="C16" s="277"/>
      <c r="D16" s="277"/>
      <c r="E16" s="277"/>
      <c r="F16" s="277"/>
      <c r="G16" s="277"/>
      <c r="H16" s="277"/>
      <c r="I16" s="121"/>
      <c r="W16" s="58"/>
      <c r="X16" s="8"/>
      <c r="Y16" s="8"/>
    </row>
    <row r="17" spans="1:34" ht="15" customHeight="1">
      <c r="A17" s="277"/>
      <c r="B17" s="277"/>
      <c r="C17" s="277"/>
      <c r="D17" s="277"/>
      <c r="E17" s="277"/>
      <c r="F17" s="277"/>
      <c r="G17" s="277"/>
      <c r="H17" s="277"/>
      <c r="I17" s="121"/>
      <c r="W17" s="58"/>
      <c r="X17" s="8"/>
      <c r="Y17" s="8"/>
    </row>
    <row r="18" spans="1:34" ht="15" customHeight="1">
      <c r="A18" s="277"/>
      <c r="B18" s="277"/>
      <c r="C18" s="277"/>
      <c r="D18" s="277"/>
      <c r="E18" s="277"/>
      <c r="F18" s="277"/>
      <c r="G18" s="277"/>
      <c r="H18" s="277"/>
      <c r="I18" s="121"/>
      <c r="W18" s="58"/>
      <c r="X18" s="8"/>
      <c r="Y18" s="8"/>
    </row>
    <row r="19" spans="1:34" ht="15" customHeight="1">
      <c r="A19" s="277"/>
      <c r="B19" s="277"/>
      <c r="C19" s="277"/>
      <c r="D19" s="277"/>
      <c r="E19" s="277"/>
      <c r="F19" s="277"/>
      <c r="G19" s="277"/>
      <c r="H19" s="277"/>
      <c r="I19" s="121"/>
      <c r="W19" s="58"/>
      <c r="X19" s="8"/>
      <c r="Y19" s="8"/>
    </row>
    <row r="20" spans="1:34" ht="15" customHeight="1">
      <c r="A20" s="277"/>
      <c r="B20" s="277"/>
      <c r="C20" s="277"/>
      <c r="D20" s="277"/>
      <c r="E20" s="277"/>
      <c r="F20" s="277"/>
      <c r="G20" s="277"/>
      <c r="H20" s="277"/>
      <c r="I20" s="121"/>
      <c r="W20" s="58"/>
      <c r="X20" s="8"/>
      <c r="Y20" s="8"/>
    </row>
    <row r="21" spans="1:34" ht="15" customHeight="1">
      <c r="A21" s="277"/>
      <c r="B21" s="277"/>
      <c r="C21" s="277"/>
      <c r="D21" s="277"/>
      <c r="E21" s="277"/>
      <c r="F21" s="277"/>
      <c r="G21" s="277"/>
      <c r="H21" s="277"/>
      <c r="I21" s="121"/>
      <c r="W21" s="58"/>
      <c r="X21" s="8"/>
      <c r="Y21" s="8"/>
    </row>
    <row r="22" spans="1:34" ht="15" customHeight="1">
      <c r="A22" s="277"/>
      <c r="B22" s="277"/>
      <c r="C22" s="277"/>
      <c r="D22" s="277"/>
      <c r="E22" s="277"/>
      <c r="F22" s="277"/>
      <c r="G22" s="277"/>
      <c r="H22" s="277"/>
      <c r="I22" s="121"/>
      <c r="W22" s="58"/>
      <c r="X22" s="8"/>
      <c r="Y22" s="8"/>
    </row>
    <row r="23" spans="1:34" ht="15" customHeight="1">
      <c r="A23" s="277"/>
      <c r="B23" s="277"/>
      <c r="C23" s="277"/>
      <c r="D23" s="277"/>
      <c r="E23" s="277"/>
      <c r="F23" s="277"/>
      <c r="G23" s="277"/>
      <c r="H23" s="277"/>
      <c r="I23" s="121"/>
      <c r="W23" s="58"/>
      <c r="X23" s="8"/>
      <c r="Y23" s="8"/>
      <c r="AC23" s="87"/>
      <c r="AD23" s="87"/>
      <c r="AE23" s="87"/>
      <c r="AF23" s="87"/>
      <c r="AG23" s="87"/>
      <c r="AH23" s="87"/>
    </row>
    <row r="24" spans="1:34" ht="15" customHeight="1">
      <c r="A24" s="277"/>
      <c r="B24" s="277"/>
      <c r="C24" s="277"/>
      <c r="D24" s="277"/>
      <c r="E24" s="277"/>
      <c r="F24" s="277"/>
      <c r="G24" s="277"/>
      <c r="H24" s="277"/>
      <c r="I24" s="121"/>
      <c r="W24" s="58"/>
      <c r="X24" s="8"/>
      <c r="Y24" s="8"/>
      <c r="AC24" s="263"/>
      <c r="AD24" s="84"/>
      <c r="AE24" s="84"/>
      <c r="AF24" s="263"/>
      <c r="AG24" s="84"/>
      <c r="AH24" s="84"/>
    </row>
    <row r="25" spans="1:34" ht="15" customHeight="1">
      <c r="A25" s="277"/>
      <c r="B25" s="277"/>
      <c r="C25" s="277"/>
      <c r="D25" s="277"/>
      <c r="E25" s="277"/>
      <c r="F25" s="277"/>
      <c r="G25" s="277"/>
      <c r="H25" s="277"/>
      <c r="I25" s="121"/>
      <c r="W25" s="58"/>
      <c r="X25" s="8"/>
      <c r="Y25" s="8"/>
      <c r="AC25" s="263"/>
      <c r="AD25" s="84"/>
      <c r="AE25" s="84"/>
      <c r="AF25" s="263"/>
      <c r="AG25" s="84"/>
      <c r="AH25" s="84"/>
    </row>
    <row r="26" spans="1:34">
      <c r="A26" s="277"/>
      <c r="B26" s="277"/>
      <c r="C26" s="277"/>
      <c r="D26" s="277"/>
      <c r="E26" s="277"/>
      <c r="F26" s="277"/>
      <c r="G26" s="277"/>
      <c r="H26" s="277"/>
      <c r="W26" s="58"/>
      <c r="X26" s="8"/>
      <c r="Y26" s="8"/>
      <c r="AC26" s="263"/>
      <c r="AD26" s="86"/>
      <c r="AE26" s="84"/>
      <c r="AF26" s="84"/>
      <c r="AG26" s="85"/>
      <c r="AH26" s="84"/>
    </row>
    <row r="27" spans="1:34" ht="17">
      <c r="A27" s="136"/>
      <c r="B27" s="136"/>
      <c r="C27" s="136"/>
      <c r="D27" s="136"/>
      <c r="E27" s="136"/>
      <c r="F27" s="136"/>
      <c r="G27" s="136"/>
      <c r="H27" s="136"/>
      <c r="J27" s="267"/>
      <c r="K27" s="267"/>
      <c r="L27" s="267"/>
      <c r="M27" s="267"/>
      <c r="N27" s="267"/>
      <c r="O27" s="267"/>
      <c r="P27" s="267"/>
      <c r="Q27" s="267"/>
      <c r="R27" s="267"/>
      <c r="S27" s="267"/>
      <c r="T27" s="267"/>
      <c r="U27" s="267"/>
      <c r="W27" s="58"/>
      <c r="X27" s="8"/>
      <c r="Y27" s="8"/>
      <c r="AC27" s="263"/>
      <c r="AD27" s="86"/>
      <c r="AE27" s="84"/>
      <c r="AF27" s="84"/>
      <c r="AG27" s="85"/>
      <c r="AH27" s="84"/>
    </row>
    <row r="28" spans="1:34" ht="17">
      <c r="A28" s="136"/>
      <c r="B28" s="136"/>
      <c r="C28" s="136"/>
      <c r="D28" s="136"/>
      <c r="E28" s="136"/>
      <c r="F28" s="136"/>
      <c r="G28" s="136"/>
      <c r="H28" s="136"/>
      <c r="W28" s="58"/>
      <c r="X28" s="8"/>
      <c r="Y28" s="8"/>
      <c r="AC28" s="263"/>
      <c r="AD28" s="86"/>
      <c r="AE28" s="84"/>
      <c r="AF28" s="84"/>
      <c r="AG28" s="85"/>
      <c r="AH28" s="84"/>
    </row>
    <row r="29" spans="1:34" ht="20" thickBot="1">
      <c r="A29" s="266" t="s">
        <v>98</v>
      </c>
      <c r="B29" s="266"/>
      <c r="C29" s="266"/>
      <c r="D29" s="266"/>
      <c r="E29" s="266"/>
      <c r="F29" s="266"/>
      <c r="G29" s="266"/>
      <c r="H29" s="266"/>
      <c r="W29" s="58"/>
      <c r="X29" s="8"/>
      <c r="Y29" s="8"/>
      <c r="AC29" s="263"/>
      <c r="AD29" s="84"/>
      <c r="AE29" s="84"/>
      <c r="AF29" s="84"/>
      <c r="AG29" s="84"/>
      <c r="AH29" s="84"/>
    </row>
    <row r="30" spans="1:34">
      <c r="W30" s="58"/>
      <c r="X30" s="8"/>
      <c r="Y30" s="8"/>
      <c r="AC30" s="263"/>
      <c r="AD30" s="86"/>
      <c r="AE30" s="84"/>
      <c r="AF30" s="84"/>
      <c r="AG30" s="84"/>
      <c r="AH30" s="85"/>
    </row>
    <row r="31" spans="1:34" ht="15" customHeight="1">
      <c r="A31" s="277" t="s">
        <v>97</v>
      </c>
      <c r="B31" s="277"/>
      <c r="C31" s="277"/>
      <c r="D31" s="277"/>
      <c r="E31" s="277"/>
      <c r="F31" s="277"/>
      <c r="G31" s="277"/>
      <c r="H31" s="277"/>
      <c r="I31" s="121"/>
      <c r="W31" s="58"/>
      <c r="X31" s="8"/>
      <c r="Y31" s="8"/>
      <c r="AC31" s="263"/>
      <c r="AD31" s="84"/>
      <c r="AE31" s="84"/>
      <c r="AF31" s="84"/>
      <c r="AG31" s="84"/>
      <c r="AH31" s="84"/>
    </row>
    <row r="32" spans="1:34" ht="15" customHeight="1">
      <c r="A32" s="277"/>
      <c r="B32" s="277"/>
      <c r="C32" s="277"/>
      <c r="D32" s="277"/>
      <c r="E32" s="277"/>
      <c r="F32" s="277"/>
      <c r="G32" s="277"/>
      <c r="H32" s="277"/>
      <c r="I32" s="121"/>
      <c r="W32" s="58"/>
      <c r="X32" s="8"/>
      <c r="Y32" s="8"/>
      <c r="AC32" s="263"/>
      <c r="AD32" s="276"/>
      <c r="AE32" s="84"/>
      <c r="AF32" s="263"/>
      <c r="AG32" s="272"/>
      <c r="AH32" s="84"/>
    </row>
    <row r="33" spans="1:34" ht="15" customHeight="1">
      <c r="A33" s="277"/>
      <c r="B33" s="277"/>
      <c r="C33" s="277"/>
      <c r="D33" s="277"/>
      <c r="E33" s="277"/>
      <c r="F33" s="277"/>
      <c r="G33" s="277"/>
      <c r="H33" s="277"/>
      <c r="I33" s="121"/>
      <c r="W33" s="58"/>
      <c r="X33" s="8"/>
      <c r="Y33" s="8"/>
      <c r="AC33" s="263"/>
      <c r="AD33" s="276"/>
      <c r="AE33" s="84"/>
      <c r="AF33" s="263"/>
      <c r="AG33" s="272"/>
      <c r="AH33" s="84"/>
    </row>
    <row r="34" spans="1:34" ht="15" customHeight="1">
      <c r="A34" s="277"/>
      <c r="B34" s="277"/>
      <c r="C34" s="277"/>
      <c r="D34" s="277"/>
      <c r="E34" s="277"/>
      <c r="F34" s="277"/>
      <c r="G34" s="277"/>
      <c r="H34" s="277"/>
      <c r="I34" s="121"/>
      <c r="W34" s="58"/>
      <c r="X34" s="8"/>
      <c r="Y34" s="8"/>
      <c r="AC34" s="263"/>
      <c r="AD34" s="85"/>
      <c r="AE34" s="84"/>
      <c r="AF34" s="263"/>
      <c r="AG34" s="85"/>
      <c r="AH34" s="85"/>
    </row>
    <row r="35" spans="1:34" ht="15" customHeight="1">
      <c r="A35" s="277"/>
      <c r="B35" s="277"/>
      <c r="C35" s="277"/>
      <c r="D35" s="277"/>
      <c r="E35" s="277"/>
      <c r="F35" s="277"/>
      <c r="G35" s="277"/>
      <c r="H35" s="277"/>
      <c r="I35" s="121"/>
      <c r="W35" s="58"/>
      <c r="X35" s="8"/>
      <c r="Y35" s="8"/>
      <c r="AC35" s="263"/>
      <c r="AD35" s="84"/>
      <c r="AE35" s="84"/>
      <c r="AF35" s="263"/>
      <c r="AG35" s="84"/>
      <c r="AH35" s="84"/>
    </row>
    <row r="36" spans="1:34" ht="15" customHeight="1">
      <c r="A36" s="277"/>
      <c r="B36" s="277"/>
      <c r="C36" s="277"/>
      <c r="D36" s="277"/>
      <c r="E36" s="277"/>
      <c r="F36" s="277"/>
      <c r="G36" s="277"/>
      <c r="H36" s="277"/>
      <c r="I36" s="121"/>
      <c r="W36" s="58"/>
      <c r="X36" s="8"/>
      <c r="Y36" s="8"/>
    </row>
    <row r="37" spans="1:34" ht="15" customHeight="1">
      <c r="A37" s="277"/>
      <c r="B37" s="277"/>
      <c r="C37" s="277"/>
      <c r="D37" s="277"/>
      <c r="E37" s="277"/>
      <c r="F37" s="277"/>
      <c r="G37" s="277"/>
      <c r="H37" s="277"/>
      <c r="I37" s="121"/>
      <c r="W37" s="58"/>
      <c r="X37" s="8"/>
      <c r="Y37" s="8"/>
    </row>
    <row r="38" spans="1:34" ht="15" customHeight="1">
      <c r="A38" s="277"/>
      <c r="B38" s="277"/>
      <c r="C38" s="277"/>
      <c r="D38" s="277"/>
      <c r="E38" s="277"/>
      <c r="F38" s="277"/>
      <c r="G38" s="277"/>
      <c r="H38" s="277"/>
      <c r="I38" s="121"/>
      <c r="W38" s="58"/>
      <c r="X38" s="8"/>
      <c r="Y38" s="8"/>
    </row>
    <row r="39" spans="1:34" ht="15" customHeight="1">
      <c r="A39" s="277"/>
      <c r="B39" s="277"/>
      <c r="C39" s="277"/>
      <c r="D39" s="277"/>
      <c r="E39" s="277"/>
      <c r="F39" s="277"/>
      <c r="G39" s="277"/>
      <c r="H39" s="277"/>
      <c r="I39" s="121"/>
      <c r="W39" s="58"/>
      <c r="X39" s="8"/>
      <c r="Y39" s="8"/>
    </row>
    <row r="40" spans="1:34" ht="15" customHeight="1">
      <c r="A40" s="277"/>
      <c r="B40" s="277"/>
      <c r="C40" s="277"/>
      <c r="D40" s="277"/>
      <c r="E40" s="277"/>
      <c r="F40" s="277"/>
      <c r="G40" s="277"/>
      <c r="H40" s="277"/>
      <c r="I40" s="121"/>
      <c r="W40" s="58"/>
      <c r="X40" s="8"/>
      <c r="Y40" s="8"/>
    </row>
    <row r="41" spans="1:34" ht="15" customHeight="1">
      <c r="A41" s="277"/>
      <c r="B41" s="277"/>
      <c r="C41" s="277"/>
      <c r="D41" s="277"/>
      <c r="E41" s="277"/>
      <c r="F41" s="277"/>
      <c r="G41" s="277"/>
      <c r="H41" s="277"/>
      <c r="I41" s="121"/>
      <c r="W41" s="58"/>
      <c r="X41" s="8"/>
      <c r="Y41" s="8"/>
    </row>
    <row r="42" spans="1:34" ht="15" customHeight="1">
      <c r="A42" s="277"/>
      <c r="B42" s="277"/>
      <c r="C42" s="277"/>
      <c r="D42" s="277"/>
      <c r="E42" s="277"/>
      <c r="F42" s="277"/>
      <c r="G42" s="277"/>
      <c r="H42" s="277"/>
      <c r="I42" s="121"/>
      <c r="W42" s="58"/>
      <c r="X42" s="8"/>
      <c r="Y42" s="8"/>
    </row>
    <row r="43" spans="1:34" ht="15" customHeight="1">
      <c r="A43" s="277"/>
      <c r="B43" s="277"/>
      <c r="C43" s="277"/>
      <c r="D43" s="277"/>
      <c r="E43" s="277"/>
      <c r="F43" s="277"/>
      <c r="G43" s="277"/>
      <c r="H43" s="277"/>
      <c r="I43" s="121"/>
      <c r="W43" s="58"/>
      <c r="X43" s="8"/>
      <c r="Y43" s="8"/>
    </row>
    <row r="44" spans="1:34">
      <c r="A44" s="277"/>
      <c r="B44" s="277"/>
      <c r="C44" s="277"/>
      <c r="D44" s="277"/>
      <c r="E44" s="277"/>
      <c r="F44" s="277"/>
      <c r="G44" s="277"/>
      <c r="H44" s="277"/>
      <c r="W44" s="58"/>
      <c r="X44" s="8"/>
      <c r="Y44" s="8"/>
    </row>
    <row r="45" spans="1:34" ht="17">
      <c r="A45" s="136"/>
      <c r="B45" s="136"/>
      <c r="C45" s="136"/>
      <c r="D45" s="136"/>
      <c r="E45" s="136"/>
      <c r="F45" s="136"/>
      <c r="G45" s="136"/>
      <c r="H45" s="136"/>
      <c r="J45" s="267"/>
      <c r="K45" s="267"/>
      <c r="L45" s="267"/>
      <c r="M45" s="267"/>
      <c r="N45" s="267"/>
      <c r="O45" s="267"/>
      <c r="P45" s="267"/>
      <c r="Q45" s="267"/>
      <c r="R45" s="267"/>
      <c r="S45" s="267"/>
      <c r="T45" s="267"/>
      <c r="U45" s="267"/>
      <c r="W45" s="58"/>
      <c r="X45" s="8"/>
      <c r="Y45" s="8"/>
    </row>
    <row r="46" spans="1:34" ht="18" thickBot="1">
      <c r="A46" s="83" t="s">
        <v>84</v>
      </c>
      <c r="B46" s="82"/>
      <c r="C46" s="82"/>
      <c r="W46" s="58"/>
      <c r="X46" s="8"/>
      <c r="Y46" s="8"/>
    </row>
    <row r="47" spans="1:34">
      <c r="A47" s="284" t="s">
        <v>174</v>
      </c>
      <c r="B47" s="284"/>
      <c r="C47" s="284"/>
      <c r="D47" s="284"/>
      <c r="E47" s="284"/>
      <c r="F47" s="284"/>
      <c r="G47" s="284"/>
      <c r="H47" s="284"/>
      <c r="I47" s="284"/>
      <c r="J47" s="284"/>
      <c r="K47" s="284"/>
      <c r="L47" s="284"/>
      <c r="W47" s="58"/>
      <c r="X47" s="8"/>
      <c r="Y47" s="8"/>
    </row>
    <row r="48" spans="1:34" ht="16">
      <c r="A48" s="2"/>
      <c r="B48" s="2"/>
      <c r="C48" s="2"/>
      <c r="D48" s="2"/>
      <c r="E48" s="2"/>
      <c r="F48" s="2"/>
      <c r="G48" s="2"/>
      <c r="H48" s="2"/>
      <c r="I48" s="2"/>
      <c r="J48" s="2"/>
      <c r="K48" s="2"/>
      <c r="W48" s="58"/>
      <c r="X48" s="8"/>
      <c r="Y48" s="8"/>
    </row>
    <row r="49" spans="1:25" ht="30" customHeight="1">
      <c r="A49" s="2"/>
      <c r="B49" s="2"/>
      <c r="C49" s="2"/>
      <c r="D49" s="2"/>
      <c r="E49" s="2"/>
      <c r="F49" s="2"/>
      <c r="G49" s="2"/>
      <c r="H49" s="2"/>
      <c r="I49" s="2"/>
      <c r="J49" s="2"/>
      <c r="K49" s="2"/>
      <c r="W49" s="58"/>
      <c r="X49" s="8"/>
      <c r="Y49" s="8"/>
    </row>
    <row r="50" spans="1:25" ht="33" customHeight="1" thickBot="1">
      <c r="A50" s="147" t="s">
        <v>113</v>
      </c>
      <c r="B50" s="44"/>
      <c r="C50" s="44"/>
      <c r="D50" s="44"/>
      <c r="E50" s="44"/>
      <c r="F50" s="44"/>
      <c r="G50" s="44"/>
      <c r="H50" s="44"/>
      <c r="I50" s="44"/>
      <c r="J50" s="44"/>
      <c r="K50" s="44"/>
      <c r="L50" s="44"/>
      <c r="M50" s="44"/>
      <c r="N50" s="44"/>
      <c r="O50" s="44"/>
      <c r="P50" s="44"/>
      <c r="Q50" s="44"/>
      <c r="R50" s="44"/>
      <c r="S50" s="44"/>
      <c r="T50" s="44"/>
      <c r="U50" s="44"/>
      <c r="V50" s="44"/>
      <c r="W50" s="58"/>
      <c r="X50" s="8"/>
      <c r="Y50" s="8"/>
    </row>
    <row r="51" spans="1:25" ht="21" thickBot="1">
      <c r="A51" s="81"/>
      <c r="T51" s="286" t="s">
        <v>110</v>
      </c>
      <c r="U51" s="286"/>
      <c r="V51" s="286"/>
      <c r="W51" s="58"/>
      <c r="X51" s="8"/>
      <c r="Y51" s="8"/>
    </row>
    <row r="52" spans="1:25" ht="18" customHeight="1" thickBot="1">
      <c r="A52" s="273" t="s">
        <v>96</v>
      </c>
      <c r="B52" s="273"/>
      <c r="C52" s="273"/>
      <c r="D52" s="273"/>
      <c r="E52" s="273"/>
      <c r="F52" s="273"/>
      <c r="G52" s="273"/>
      <c r="H52" s="273"/>
      <c r="I52" s="273"/>
      <c r="J52" s="78"/>
      <c r="K52" s="2"/>
      <c r="L52" s="135"/>
      <c r="M52" s="135"/>
      <c r="N52" s="135"/>
      <c r="O52" s="135"/>
      <c r="P52" s="135"/>
      <c r="Q52" s="135"/>
      <c r="R52" s="135"/>
      <c r="S52" s="135"/>
      <c r="T52" s="269" t="s">
        <v>111</v>
      </c>
      <c r="U52" s="269"/>
      <c r="V52" s="269"/>
      <c r="W52" s="58"/>
      <c r="X52" s="8"/>
      <c r="Y52" s="8"/>
    </row>
    <row r="53" spans="1:25" ht="16">
      <c r="A53" s="2"/>
      <c r="B53" s="2"/>
      <c r="C53" s="2"/>
      <c r="D53" s="2"/>
      <c r="E53" s="2"/>
      <c r="F53" s="2"/>
      <c r="G53" s="2"/>
      <c r="H53" s="2"/>
      <c r="I53" s="2"/>
      <c r="J53" s="2"/>
      <c r="K53" s="2"/>
      <c r="L53" s="2"/>
      <c r="T53" s="65" t="s">
        <v>16</v>
      </c>
      <c r="U53" s="65"/>
      <c r="V53" s="65"/>
      <c r="W53" s="58"/>
      <c r="X53" s="8"/>
      <c r="Y53" s="8"/>
    </row>
    <row r="54" spans="1:25" ht="17">
      <c r="A54" s="77" t="s">
        <v>95</v>
      </c>
      <c r="B54" s="2"/>
      <c r="C54" s="2"/>
      <c r="D54" s="2"/>
      <c r="E54" s="2"/>
      <c r="F54" s="2"/>
      <c r="G54" s="2"/>
      <c r="H54" s="2"/>
      <c r="I54" s="2"/>
      <c r="J54" s="2"/>
      <c r="K54" s="2"/>
      <c r="L54" s="2"/>
      <c r="T54" s="126" t="s">
        <v>85</v>
      </c>
      <c r="U54" s="126"/>
      <c r="V54" s="126"/>
      <c r="W54" s="58"/>
      <c r="X54" s="8"/>
      <c r="Y54" s="8"/>
    </row>
    <row r="55" spans="1:25" ht="19">
      <c r="A55" s="80"/>
      <c r="B55" s="2"/>
      <c r="C55" s="2"/>
      <c r="D55" s="2"/>
      <c r="E55" s="2"/>
      <c r="F55" s="2"/>
      <c r="G55" s="2"/>
      <c r="H55" s="2"/>
      <c r="I55" s="2"/>
      <c r="J55" s="2"/>
      <c r="K55" s="2"/>
      <c r="L55" s="2"/>
      <c r="W55" s="58"/>
    </row>
    <row r="56" spans="1:25" ht="17.25" customHeight="1" thickBot="1">
      <c r="A56" s="288" t="s">
        <v>57</v>
      </c>
      <c r="B56" s="289"/>
      <c r="C56" s="75" t="s">
        <v>20</v>
      </c>
      <c r="D56" s="75" t="s">
        <v>21</v>
      </c>
      <c r="E56" s="75" t="s">
        <v>22</v>
      </c>
      <c r="F56" s="75" t="s">
        <v>23</v>
      </c>
      <c r="G56" s="75" t="s">
        <v>24</v>
      </c>
      <c r="H56" s="75" t="s">
        <v>25</v>
      </c>
      <c r="I56" s="75" t="s">
        <v>26</v>
      </c>
      <c r="W56" s="58"/>
    </row>
    <row r="57" spans="1:25" ht="16" customHeight="1">
      <c r="A57" s="122" t="s">
        <v>34</v>
      </c>
      <c r="B57" s="122"/>
      <c r="C57" s="134">
        <v>23.1</v>
      </c>
      <c r="D57" s="134">
        <v>14</v>
      </c>
      <c r="E57" s="134">
        <v>16.2</v>
      </c>
      <c r="F57" s="134">
        <v>19.5</v>
      </c>
      <c r="G57" s="134">
        <v>18.399999999999999</v>
      </c>
      <c r="H57" s="134">
        <v>16.899999999999999</v>
      </c>
      <c r="I57" s="134">
        <v>13.8</v>
      </c>
      <c r="K57" s="277" t="s">
        <v>175</v>
      </c>
      <c r="L57" s="277"/>
      <c r="M57" s="277"/>
      <c r="N57" s="277"/>
      <c r="O57" s="277"/>
      <c r="P57" s="277"/>
      <c r="Q57" s="277"/>
      <c r="R57" s="277"/>
      <c r="S57" s="277"/>
      <c r="T57" s="277"/>
      <c r="U57" s="277"/>
      <c r="V57" s="56"/>
      <c r="W57" s="58"/>
    </row>
    <row r="58" spans="1:25" ht="16" customHeight="1">
      <c r="A58" s="123" t="s">
        <v>17</v>
      </c>
      <c r="B58" s="123"/>
      <c r="C58" s="134">
        <v>15.1</v>
      </c>
      <c r="D58" s="134">
        <v>12</v>
      </c>
      <c r="E58" s="134">
        <v>12.1</v>
      </c>
      <c r="F58" s="134">
        <v>15.1</v>
      </c>
      <c r="G58" s="134">
        <v>14.6</v>
      </c>
      <c r="H58" s="134">
        <v>13.9</v>
      </c>
      <c r="I58" s="134">
        <v>13.9</v>
      </c>
      <c r="K58" s="277"/>
      <c r="L58" s="277"/>
      <c r="M58" s="277"/>
      <c r="N58" s="277"/>
      <c r="O58" s="277"/>
      <c r="P58" s="277"/>
      <c r="Q58" s="277"/>
      <c r="R58" s="277"/>
      <c r="S58" s="277"/>
      <c r="T58" s="277"/>
      <c r="U58" s="277"/>
      <c r="V58" s="56"/>
      <c r="W58" s="58"/>
    </row>
    <row r="59" spans="1:25" ht="16" customHeight="1">
      <c r="A59" s="122" t="s">
        <v>94</v>
      </c>
      <c r="B59" s="122"/>
      <c r="C59" s="134">
        <v>11</v>
      </c>
      <c r="D59" s="134">
        <v>7.7</v>
      </c>
      <c r="E59" s="134">
        <v>7.6</v>
      </c>
      <c r="F59" s="134">
        <v>11.7</v>
      </c>
      <c r="G59" s="134">
        <v>11.5</v>
      </c>
      <c r="H59" s="134">
        <v>10.9</v>
      </c>
      <c r="I59" s="134">
        <v>8.9</v>
      </c>
      <c r="K59" s="277"/>
      <c r="L59" s="277"/>
      <c r="M59" s="277"/>
      <c r="N59" s="277"/>
      <c r="O59" s="277"/>
      <c r="P59" s="277"/>
      <c r="Q59" s="277"/>
      <c r="R59" s="277"/>
      <c r="S59" s="277"/>
      <c r="T59" s="277"/>
      <c r="U59" s="277"/>
      <c r="V59" s="56"/>
      <c r="W59" s="58"/>
    </row>
    <row r="60" spans="1:25" ht="16" customHeight="1">
      <c r="A60" s="79" t="s">
        <v>16</v>
      </c>
      <c r="B60" s="74"/>
      <c r="C60" s="73">
        <v>7.9</v>
      </c>
      <c r="D60" s="73">
        <v>7.7</v>
      </c>
      <c r="E60" s="73">
        <v>8.9</v>
      </c>
      <c r="F60" s="73">
        <v>12</v>
      </c>
      <c r="G60" s="73">
        <v>10.9</v>
      </c>
      <c r="H60" s="73">
        <v>10.5</v>
      </c>
      <c r="I60" s="73">
        <v>10.199999999999999</v>
      </c>
      <c r="K60" s="277"/>
      <c r="L60" s="277"/>
      <c r="M60" s="277"/>
      <c r="N60" s="277"/>
      <c r="O60" s="277"/>
      <c r="P60" s="277"/>
      <c r="Q60" s="277"/>
      <c r="R60" s="277"/>
      <c r="S60" s="277"/>
      <c r="T60" s="277"/>
      <c r="U60" s="277"/>
      <c r="V60" s="56"/>
      <c r="W60" s="58"/>
    </row>
    <row r="61" spans="1:25" ht="17.25" customHeight="1">
      <c r="A61" s="124" t="s">
        <v>93</v>
      </c>
      <c r="B61" s="124"/>
      <c r="C61" s="133">
        <v>9</v>
      </c>
      <c r="D61" s="133">
        <v>6.4</v>
      </c>
      <c r="E61" s="133">
        <v>7.9</v>
      </c>
      <c r="F61" s="133">
        <v>9.1</v>
      </c>
      <c r="G61" s="133">
        <v>8.6</v>
      </c>
      <c r="H61" s="133">
        <v>8.1</v>
      </c>
      <c r="I61" s="133">
        <v>7.9</v>
      </c>
      <c r="K61" s="277"/>
      <c r="L61" s="277"/>
      <c r="M61" s="277"/>
      <c r="N61" s="277"/>
      <c r="O61" s="277"/>
      <c r="P61" s="277"/>
      <c r="Q61" s="277"/>
      <c r="R61" s="277"/>
      <c r="S61" s="277"/>
      <c r="T61" s="277"/>
      <c r="U61" s="277"/>
      <c r="V61" s="56"/>
      <c r="W61" s="58"/>
    </row>
    <row r="62" spans="1:25" ht="17.25" customHeight="1">
      <c r="A62" s="124" t="s">
        <v>82</v>
      </c>
      <c r="B62" s="124"/>
      <c r="C62" s="133">
        <v>5.3</v>
      </c>
      <c r="D62" s="133">
        <v>5.2</v>
      </c>
      <c r="E62" s="133">
        <v>6.7</v>
      </c>
      <c r="F62" s="133">
        <v>9</v>
      </c>
      <c r="G62" s="133">
        <v>8.4</v>
      </c>
      <c r="H62" s="133">
        <v>7.6</v>
      </c>
      <c r="I62" s="133">
        <v>6.9</v>
      </c>
      <c r="K62" s="277"/>
      <c r="L62" s="277"/>
      <c r="M62" s="277"/>
      <c r="N62" s="277"/>
      <c r="O62" s="277"/>
      <c r="P62" s="277"/>
      <c r="Q62" s="277"/>
      <c r="R62" s="277"/>
      <c r="S62" s="277"/>
      <c r="T62" s="277"/>
      <c r="U62" s="277"/>
      <c r="V62" s="56"/>
      <c r="W62" s="58"/>
    </row>
    <row r="63" spans="1:25" ht="16" customHeight="1">
      <c r="A63" s="124" t="s">
        <v>38</v>
      </c>
      <c r="B63" s="124"/>
      <c r="C63" s="133">
        <v>7.2</v>
      </c>
      <c r="D63" s="133">
        <v>5.8</v>
      </c>
      <c r="E63" s="133">
        <v>7.6</v>
      </c>
      <c r="F63" s="133">
        <v>8.6</v>
      </c>
      <c r="G63" s="133">
        <v>8.5</v>
      </c>
      <c r="H63" s="133">
        <v>8.1</v>
      </c>
      <c r="I63" s="133">
        <v>7.6</v>
      </c>
      <c r="K63" s="277"/>
      <c r="L63" s="277"/>
      <c r="M63" s="277"/>
      <c r="N63" s="277"/>
      <c r="O63" s="277"/>
      <c r="P63" s="277"/>
      <c r="Q63" s="277"/>
      <c r="R63" s="277"/>
      <c r="S63" s="277"/>
      <c r="T63" s="277"/>
      <c r="U63" s="277"/>
      <c r="V63" s="56"/>
      <c r="W63" s="58"/>
    </row>
    <row r="64" spans="1:25" ht="16" customHeight="1">
      <c r="E64" s="59"/>
      <c r="K64" s="56"/>
      <c r="L64" s="56"/>
      <c r="M64" s="56"/>
      <c r="N64" s="56"/>
      <c r="O64" s="56"/>
      <c r="P64" s="56"/>
      <c r="Q64" s="56"/>
      <c r="R64" s="56"/>
      <c r="S64" s="56"/>
      <c r="T64" s="56"/>
      <c r="U64" s="56"/>
      <c r="V64" s="56"/>
      <c r="W64" s="58"/>
    </row>
    <row r="65" spans="1:25" ht="16" customHeight="1" thickBot="1">
      <c r="A65" s="287" t="s">
        <v>109</v>
      </c>
      <c r="B65" s="287"/>
      <c r="C65" s="287"/>
      <c r="D65" s="287"/>
      <c r="E65" s="287"/>
      <c r="O65" s="132"/>
      <c r="P65" s="132"/>
      <c r="Q65" s="132"/>
      <c r="R65" s="132"/>
      <c r="S65" s="132"/>
      <c r="T65" s="132"/>
      <c r="U65" s="132"/>
      <c r="W65" s="58"/>
      <c r="X65" s="8"/>
      <c r="Y65" s="8"/>
    </row>
    <row r="66" spans="1:25" ht="16" customHeight="1">
      <c r="E66" s="59"/>
      <c r="O66" s="132"/>
      <c r="P66" s="132"/>
      <c r="Q66" s="132"/>
      <c r="R66" s="132"/>
      <c r="S66" s="132"/>
      <c r="T66" s="132"/>
      <c r="U66" s="132"/>
      <c r="W66" s="58"/>
      <c r="X66" s="8"/>
      <c r="Y66" s="8"/>
    </row>
    <row r="67" spans="1:25" ht="16" customHeight="1">
      <c r="E67" s="59"/>
      <c r="W67" s="58"/>
      <c r="X67" s="8"/>
      <c r="Y67" s="8"/>
    </row>
    <row r="68" spans="1:25" ht="16" customHeight="1">
      <c r="E68" s="59"/>
      <c r="W68" s="58"/>
      <c r="X68" s="8"/>
      <c r="Y68" s="8"/>
    </row>
    <row r="69" spans="1:25" ht="16">
      <c r="E69" s="2"/>
      <c r="F69" s="2"/>
      <c r="G69" s="2"/>
      <c r="H69" s="2"/>
      <c r="I69" s="2"/>
      <c r="J69" s="2"/>
      <c r="K69" s="2"/>
      <c r="L69" s="2"/>
      <c r="W69" s="58"/>
      <c r="X69" s="8"/>
      <c r="Y69" s="8"/>
    </row>
    <row r="70" spans="1:25" ht="16">
      <c r="A70" s="59"/>
      <c r="B70" s="131"/>
      <c r="C70" s="131"/>
      <c r="D70" s="131"/>
      <c r="E70" s="2"/>
      <c r="F70" s="2"/>
      <c r="G70" s="2"/>
      <c r="H70" s="2"/>
      <c r="I70" s="2"/>
      <c r="J70" s="2"/>
      <c r="K70" s="2"/>
      <c r="L70" s="2"/>
      <c r="W70" s="58"/>
      <c r="X70" s="8"/>
      <c r="Y70" s="8"/>
    </row>
    <row r="71" spans="1:25" ht="16">
      <c r="A71" s="2"/>
      <c r="B71" s="2"/>
      <c r="C71" s="2"/>
      <c r="D71" s="2"/>
      <c r="E71" s="2"/>
      <c r="F71" s="2"/>
      <c r="G71" s="2"/>
      <c r="H71" s="2"/>
      <c r="I71" s="2"/>
      <c r="J71" s="2"/>
      <c r="K71" s="2"/>
      <c r="L71" s="2"/>
      <c r="W71" s="58"/>
      <c r="X71" s="8"/>
      <c r="Y71" s="8"/>
    </row>
    <row r="72" spans="1:25" ht="16">
      <c r="A72" s="2"/>
      <c r="B72" s="2"/>
      <c r="C72" s="2"/>
      <c r="D72" s="2"/>
      <c r="E72" s="2"/>
      <c r="F72" s="2"/>
      <c r="G72" s="2"/>
      <c r="H72" s="2"/>
      <c r="I72" s="2"/>
      <c r="J72" s="2"/>
      <c r="K72" s="2"/>
      <c r="L72" s="2"/>
      <c r="W72" s="58"/>
      <c r="X72" s="8"/>
      <c r="Y72" s="8"/>
    </row>
    <row r="73" spans="1:25" ht="16">
      <c r="A73" s="2"/>
      <c r="B73" s="2"/>
      <c r="C73" s="2"/>
      <c r="D73" s="2"/>
      <c r="E73" s="2"/>
      <c r="F73" s="2"/>
      <c r="G73" s="2"/>
      <c r="H73" s="2"/>
      <c r="I73" s="2"/>
      <c r="J73" s="2"/>
      <c r="K73" s="2"/>
      <c r="L73" s="2"/>
      <c r="W73" s="58"/>
      <c r="X73" s="8"/>
      <c r="Y73" s="8"/>
    </row>
    <row r="74" spans="1:25" ht="16">
      <c r="A74" s="2"/>
      <c r="B74" s="2"/>
      <c r="C74" s="2"/>
      <c r="D74" s="2"/>
      <c r="E74" s="2"/>
      <c r="F74" s="2"/>
      <c r="G74" s="2"/>
      <c r="H74" s="2"/>
      <c r="I74" s="2"/>
      <c r="J74" s="2"/>
      <c r="K74" s="2"/>
      <c r="L74" s="2"/>
      <c r="W74" s="58"/>
      <c r="X74" s="8"/>
      <c r="Y74" s="8"/>
    </row>
    <row r="75" spans="1:25" ht="16">
      <c r="A75" s="2"/>
      <c r="B75" s="2"/>
      <c r="C75" s="2"/>
      <c r="D75" s="2"/>
      <c r="E75" s="2"/>
      <c r="F75" s="2"/>
      <c r="G75" s="2"/>
      <c r="H75" s="2"/>
      <c r="I75" s="2"/>
      <c r="J75" s="2"/>
      <c r="K75" s="2"/>
      <c r="L75" s="2"/>
      <c r="W75" s="58"/>
      <c r="X75" s="8"/>
      <c r="Y75" s="8"/>
    </row>
    <row r="76" spans="1:25" ht="16">
      <c r="A76" s="2"/>
      <c r="B76" s="2"/>
      <c r="C76" s="2"/>
      <c r="D76" s="2"/>
      <c r="E76" s="2"/>
      <c r="F76" s="2"/>
      <c r="G76" s="2"/>
      <c r="H76" s="2"/>
      <c r="I76" s="2"/>
      <c r="J76" s="2"/>
      <c r="K76" s="2"/>
      <c r="L76" s="2"/>
      <c r="W76" s="58"/>
      <c r="X76" s="8"/>
      <c r="Y76" s="8"/>
    </row>
    <row r="77" spans="1:25" ht="18" thickBot="1">
      <c r="A77" s="287" t="s">
        <v>108</v>
      </c>
      <c r="B77" s="287"/>
      <c r="C77" s="287"/>
      <c r="D77" s="287"/>
      <c r="E77" s="287"/>
      <c r="F77" s="2"/>
      <c r="G77" s="2"/>
      <c r="H77" s="2"/>
      <c r="I77" s="2"/>
      <c r="J77" s="2"/>
      <c r="K77" s="2"/>
      <c r="L77" s="2"/>
      <c r="W77" s="58"/>
      <c r="X77" s="8"/>
      <c r="Y77" s="8"/>
    </row>
    <row r="78" spans="1:25" ht="16">
      <c r="A78" s="2"/>
      <c r="B78" s="2"/>
      <c r="C78" s="2"/>
      <c r="D78" s="2"/>
      <c r="E78" s="2"/>
      <c r="F78" s="2"/>
      <c r="G78" s="2"/>
      <c r="H78" s="2"/>
      <c r="I78" s="2"/>
      <c r="J78" s="2"/>
      <c r="K78" s="2"/>
      <c r="L78" s="2"/>
      <c r="W78" s="58"/>
      <c r="X78" s="8"/>
      <c r="Y78" s="8"/>
    </row>
    <row r="79" spans="1:25" ht="16">
      <c r="A79" s="2"/>
      <c r="B79" s="2"/>
      <c r="C79" s="2"/>
      <c r="D79" s="2"/>
      <c r="E79" s="2"/>
      <c r="F79" s="2"/>
      <c r="G79" s="2"/>
      <c r="H79" s="2"/>
      <c r="I79" s="2"/>
      <c r="J79" s="2"/>
      <c r="K79" s="2"/>
      <c r="L79" s="2"/>
      <c r="W79" s="58"/>
      <c r="X79" s="8"/>
      <c r="Y79" s="8"/>
    </row>
    <row r="80" spans="1:25" ht="16">
      <c r="A80" s="2"/>
      <c r="B80" s="2"/>
      <c r="C80" s="2"/>
      <c r="D80" s="2"/>
      <c r="E80" s="2"/>
      <c r="F80" s="2"/>
      <c r="G80" s="2"/>
      <c r="H80" s="2"/>
      <c r="I80" s="2"/>
      <c r="J80" s="2"/>
      <c r="K80" s="2"/>
      <c r="L80" s="2"/>
      <c r="W80" s="58"/>
      <c r="X80" s="8"/>
      <c r="Y80" s="8"/>
    </row>
    <row r="81" spans="1:25" ht="16">
      <c r="A81" s="2"/>
      <c r="B81" s="2"/>
      <c r="C81" s="2"/>
      <c r="D81" s="2"/>
      <c r="E81" s="2"/>
      <c r="F81" s="2"/>
      <c r="G81" s="2"/>
      <c r="H81" s="2"/>
      <c r="I81" s="2"/>
      <c r="J81" s="2"/>
      <c r="K81" s="2"/>
      <c r="L81" s="2"/>
      <c r="W81" s="58"/>
      <c r="X81" s="8"/>
      <c r="Y81" s="8"/>
    </row>
    <row r="82" spans="1:25" ht="16">
      <c r="A82" s="2"/>
      <c r="B82" s="2"/>
      <c r="C82" s="2"/>
      <c r="D82" s="2"/>
      <c r="E82" s="2"/>
      <c r="F82" s="2"/>
      <c r="G82" s="2"/>
      <c r="H82" s="2"/>
      <c r="I82" s="2"/>
      <c r="J82" s="2"/>
      <c r="K82" s="2"/>
      <c r="L82" s="2"/>
      <c r="W82" s="58"/>
      <c r="X82" s="8"/>
      <c r="Y82" s="8"/>
    </row>
    <row r="83" spans="1:25" ht="16">
      <c r="A83" s="2"/>
      <c r="B83" s="2"/>
      <c r="C83" s="2"/>
      <c r="D83" s="2"/>
      <c r="E83" s="2"/>
      <c r="F83" s="2"/>
      <c r="G83" s="2"/>
      <c r="H83" s="2"/>
      <c r="I83" s="2"/>
      <c r="J83" s="2"/>
      <c r="K83" s="2"/>
      <c r="L83" s="2"/>
      <c r="W83" s="58"/>
      <c r="X83" s="8"/>
      <c r="Y83" s="8"/>
    </row>
    <row r="84" spans="1:25" ht="16">
      <c r="A84" s="2"/>
      <c r="B84" s="2"/>
      <c r="C84" s="2"/>
      <c r="D84" s="2"/>
      <c r="E84" s="2"/>
      <c r="F84" s="2"/>
      <c r="G84" s="2"/>
      <c r="H84" s="2"/>
      <c r="I84" s="2"/>
      <c r="J84" s="2"/>
      <c r="K84" s="2"/>
      <c r="L84" s="2"/>
      <c r="W84" s="58"/>
      <c r="X84" s="8"/>
      <c r="Y84" s="8"/>
    </row>
    <row r="85" spans="1:25" ht="16">
      <c r="A85" s="2"/>
      <c r="B85" s="2"/>
      <c r="C85" s="2"/>
      <c r="D85" s="2"/>
      <c r="E85" s="2"/>
      <c r="F85" s="2"/>
      <c r="G85" s="2"/>
      <c r="H85" s="2"/>
      <c r="I85" s="2"/>
      <c r="J85" s="2"/>
      <c r="K85" s="2"/>
      <c r="L85" s="2"/>
      <c r="W85" s="58"/>
      <c r="X85" s="8"/>
      <c r="Y85" s="8"/>
    </row>
    <row r="86" spans="1:25" ht="16">
      <c r="A86" s="2"/>
      <c r="B86" s="2"/>
      <c r="C86" s="2"/>
      <c r="D86" s="2"/>
      <c r="E86" s="2"/>
      <c r="F86" s="2"/>
      <c r="G86" s="2"/>
      <c r="H86" s="2"/>
      <c r="I86" s="2"/>
      <c r="J86" s="2"/>
      <c r="K86" s="2"/>
      <c r="L86" s="2"/>
      <c r="W86" s="58"/>
      <c r="X86" s="8"/>
      <c r="Y86" s="8"/>
    </row>
    <row r="87" spans="1:25" ht="16">
      <c r="A87" s="2"/>
      <c r="B87" s="2"/>
      <c r="C87" s="2"/>
      <c r="D87" s="2"/>
      <c r="E87" s="2"/>
      <c r="F87" s="2"/>
      <c r="G87" s="2"/>
      <c r="H87" s="2"/>
      <c r="I87" s="2"/>
      <c r="J87" s="2"/>
      <c r="K87" s="2"/>
      <c r="L87" s="2"/>
      <c r="W87" s="58"/>
      <c r="X87" s="8"/>
      <c r="Y87" s="8"/>
    </row>
    <row r="88" spans="1:25" ht="16">
      <c r="A88" s="2"/>
      <c r="B88" s="2"/>
      <c r="C88" s="2"/>
      <c r="D88" s="2"/>
      <c r="E88" s="2"/>
      <c r="F88" s="2"/>
      <c r="G88" s="2"/>
      <c r="H88" s="2"/>
      <c r="I88" s="2"/>
      <c r="J88" s="2"/>
      <c r="K88" s="2"/>
      <c r="L88" s="2"/>
      <c r="W88" s="58"/>
      <c r="X88" s="8"/>
      <c r="Y88" s="8"/>
    </row>
    <row r="89" spans="1:25" ht="16">
      <c r="A89" s="2"/>
      <c r="B89" s="2"/>
      <c r="C89" s="2"/>
      <c r="D89" s="2"/>
      <c r="E89" s="2"/>
      <c r="F89" s="2"/>
      <c r="G89" s="2"/>
      <c r="H89" s="2"/>
      <c r="I89" s="2"/>
      <c r="J89" s="2"/>
      <c r="K89" s="2"/>
      <c r="L89" s="2"/>
      <c r="W89" s="58"/>
      <c r="X89" s="8"/>
      <c r="Y89" s="8"/>
    </row>
    <row r="90" spans="1:25" ht="16">
      <c r="A90" s="2"/>
      <c r="B90" s="2"/>
      <c r="C90" s="2"/>
      <c r="D90" s="2"/>
      <c r="E90" s="2"/>
      <c r="F90" s="2"/>
      <c r="G90" s="2"/>
      <c r="H90" s="2"/>
      <c r="I90" s="2"/>
      <c r="J90" s="2"/>
      <c r="K90" s="2"/>
      <c r="L90" s="2"/>
      <c r="W90" s="58"/>
      <c r="X90" s="8"/>
      <c r="Y90" s="8"/>
    </row>
    <row r="91" spans="1:25" ht="16">
      <c r="A91" s="2"/>
      <c r="B91" s="2"/>
      <c r="C91" s="2"/>
      <c r="D91" s="2"/>
      <c r="E91" s="2"/>
      <c r="F91" s="2"/>
      <c r="G91" s="2"/>
      <c r="H91" s="2"/>
      <c r="I91" s="2"/>
      <c r="J91" s="2"/>
      <c r="K91" s="2"/>
      <c r="L91" s="2"/>
      <c r="W91" s="58"/>
      <c r="X91" s="8"/>
      <c r="Y91" s="8"/>
    </row>
    <row r="92" spans="1:25" ht="16">
      <c r="A92" s="2"/>
      <c r="B92" s="2"/>
      <c r="C92" s="2"/>
      <c r="D92" s="2"/>
      <c r="E92" s="2"/>
      <c r="F92" s="2"/>
      <c r="G92" s="2"/>
      <c r="H92" s="2"/>
      <c r="I92" s="2"/>
      <c r="J92" s="2"/>
      <c r="K92" s="2"/>
      <c r="L92" s="2"/>
      <c r="W92" s="58"/>
      <c r="X92" s="8"/>
      <c r="Y92" s="8"/>
    </row>
    <row r="93" spans="1:25" ht="16">
      <c r="A93" s="2"/>
      <c r="B93" s="2"/>
      <c r="C93" s="2"/>
      <c r="D93" s="2"/>
      <c r="E93" s="2"/>
      <c r="F93" s="2"/>
      <c r="G93" s="2"/>
      <c r="H93" s="2"/>
      <c r="I93" s="2"/>
      <c r="J93" s="2"/>
      <c r="K93" s="2"/>
      <c r="L93" s="2"/>
      <c r="W93" s="58"/>
      <c r="X93" s="8"/>
      <c r="Y93" s="8"/>
    </row>
    <row r="94" spans="1:25" ht="16">
      <c r="A94" s="2"/>
      <c r="B94" s="2"/>
      <c r="C94" s="2"/>
      <c r="D94" s="2"/>
      <c r="E94" s="2"/>
      <c r="F94" s="2"/>
      <c r="G94" s="2"/>
      <c r="H94" s="2"/>
      <c r="I94" s="2"/>
      <c r="J94" s="2"/>
      <c r="K94" s="2"/>
      <c r="L94" s="2"/>
      <c r="W94" s="58"/>
      <c r="X94" s="8"/>
      <c r="Y94" s="8"/>
    </row>
    <row r="95" spans="1:25" ht="16">
      <c r="A95" s="2"/>
      <c r="B95" s="2"/>
      <c r="C95" s="2"/>
      <c r="D95" s="2"/>
      <c r="E95" s="2"/>
      <c r="F95" s="2"/>
      <c r="G95" s="2"/>
      <c r="H95" s="2"/>
      <c r="I95" s="2"/>
      <c r="J95" s="2"/>
      <c r="K95" s="2"/>
      <c r="L95" s="2"/>
      <c r="W95" s="58"/>
      <c r="X95" s="8"/>
      <c r="Y95" s="8"/>
    </row>
    <row r="96" spans="1:25" ht="18" thickBot="1">
      <c r="A96" s="83" t="s">
        <v>84</v>
      </c>
      <c r="B96" s="82"/>
      <c r="C96" s="82"/>
      <c r="W96" s="58"/>
      <c r="X96" s="8"/>
      <c r="Y96" s="8"/>
    </row>
    <row r="97" spans="1:25">
      <c r="A97" s="284" t="s">
        <v>222</v>
      </c>
      <c r="B97" s="284"/>
      <c r="C97" s="284"/>
      <c r="D97" s="284"/>
      <c r="E97" s="284"/>
      <c r="F97" s="284"/>
      <c r="G97" s="284"/>
      <c r="H97" s="284"/>
      <c r="I97" s="284"/>
      <c r="J97" s="284"/>
      <c r="K97" s="284"/>
      <c r="L97" s="284"/>
      <c r="W97" s="58"/>
      <c r="X97" s="8"/>
      <c r="Y97" s="8"/>
    </row>
    <row r="98" spans="1:25">
      <c r="A98" s="236"/>
      <c r="B98" s="236"/>
      <c r="C98" s="236"/>
      <c r="D98" s="236"/>
      <c r="E98" s="236"/>
      <c r="F98" s="236"/>
      <c r="G98" s="236"/>
      <c r="H98" s="236"/>
      <c r="I98" s="236"/>
      <c r="J98" s="236"/>
      <c r="K98" s="236"/>
      <c r="L98" s="236"/>
      <c r="W98" s="58"/>
      <c r="X98" s="8"/>
      <c r="Y98" s="8"/>
    </row>
    <row r="99" spans="1:25" ht="17.25" customHeight="1" thickBot="1">
      <c r="A99" s="273" t="s">
        <v>92</v>
      </c>
      <c r="B99" s="273"/>
      <c r="C99" s="273"/>
      <c r="D99" s="273"/>
      <c r="E99" s="273"/>
      <c r="F99" s="273"/>
      <c r="G99" s="273"/>
      <c r="H99" s="273"/>
      <c r="I99" s="273"/>
      <c r="J99" s="78"/>
      <c r="K99" s="2"/>
      <c r="L99" s="274"/>
      <c r="M99" s="274"/>
      <c r="N99" s="274"/>
      <c r="O99" s="274"/>
      <c r="P99" s="274"/>
      <c r="Q99" s="274"/>
      <c r="R99" s="274"/>
      <c r="S99" s="274"/>
      <c r="T99" s="274"/>
      <c r="W99" s="58"/>
      <c r="X99" s="8"/>
      <c r="Y99" s="8"/>
    </row>
    <row r="100" spans="1:25" ht="16">
      <c r="B100" s="2"/>
      <c r="C100" s="2"/>
      <c r="D100" s="2"/>
      <c r="E100" s="2"/>
      <c r="F100" s="2"/>
      <c r="G100" s="2"/>
      <c r="H100" s="2"/>
      <c r="I100" s="2"/>
      <c r="J100" s="2"/>
      <c r="K100" s="2"/>
      <c r="L100" s="2"/>
      <c r="W100" s="58"/>
      <c r="X100" s="8"/>
      <c r="Y100" s="8"/>
    </row>
    <row r="101" spans="1:25" ht="17">
      <c r="A101" s="77" t="s">
        <v>91</v>
      </c>
      <c r="B101" s="2"/>
      <c r="C101" s="2"/>
      <c r="D101" s="2"/>
      <c r="E101" s="2"/>
      <c r="F101" s="2"/>
      <c r="G101" s="2"/>
      <c r="H101" s="2"/>
      <c r="I101" s="2"/>
      <c r="J101" s="2"/>
      <c r="K101" s="2"/>
      <c r="L101" s="2"/>
      <c r="W101" s="58"/>
      <c r="X101" s="8"/>
      <c r="Y101" s="8"/>
    </row>
    <row r="102" spans="1:25" ht="16">
      <c r="A102" s="76"/>
      <c r="B102" s="2"/>
      <c r="C102" s="2"/>
      <c r="D102" s="2"/>
      <c r="E102" s="2"/>
      <c r="F102" s="2"/>
      <c r="G102" s="2"/>
      <c r="H102" s="2"/>
      <c r="I102" s="2"/>
      <c r="J102" s="2"/>
      <c r="K102" s="2"/>
      <c r="L102" s="2"/>
      <c r="W102" s="58"/>
      <c r="X102" s="8"/>
      <c r="Y102" s="8"/>
    </row>
    <row r="103" spans="1:25" ht="18" customHeight="1" thickBot="1">
      <c r="A103" s="67" t="s">
        <v>57</v>
      </c>
      <c r="B103" s="57"/>
      <c r="C103" s="75" t="s">
        <v>27</v>
      </c>
      <c r="D103" s="75" t="s">
        <v>28</v>
      </c>
      <c r="E103" s="75" t="s">
        <v>29</v>
      </c>
      <c r="F103" s="75" t="s">
        <v>30</v>
      </c>
      <c r="G103" s="75" t="s">
        <v>31</v>
      </c>
      <c r="H103" s="75" t="s">
        <v>32</v>
      </c>
      <c r="I103" s="75" t="s">
        <v>33</v>
      </c>
      <c r="K103" s="277" t="s">
        <v>176</v>
      </c>
      <c r="L103" s="277"/>
      <c r="M103" s="277"/>
      <c r="N103" s="277"/>
      <c r="O103" s="277"/>
      <c r="P103" s="277"/>
      <c r="Q103" s="277"/>
      <c r="R103" s="277"/>
      <c r="S103" s="277"/>
      <c r="T103" s="277"/>
      <c r="U103" s="277"/>
      <c r="W103" s="58"/>
    </row>
    <row r="104" spans="1:25" ht="16" customHeight="1">
      <c r="A104" s="269" t="s">
        <v>34</v>
      </c>
      <c r="B104" s="269"/>
      <c r="C104" s="134">
        <v>5.0999999999999996</v>
      </c>
      <c r="D104" s="134">
        <v>3.8</v>
      </c>
      <c r="E104" s="134">
        <v>4.3</v>
      </c>
      <c r="F104" s="134">
        <v>5</v>
      </c>
      <c r="G104" s="134">
        <v>4.7</v>
      </c>
      <c r="H104" s="134">
        <v>4.3</v>
      </c>
      <c r="I104" s="134">
        <v>4.2</v>
      </c>
      <c r="K104" s="277"/>
      <c r="L104" s="277"/>
      <c r="M104" s="277"/>
      <c r="N104" s="277"/>
      <c r="O104" s="277"/>
      <c r="P104" s="277"/>
      <c r="Q104" s="277"/>
      <c r="R104" s="277"/>
      <c r="S104" s="277"/>
      <c r="T104" s="277"/>
      <c r="U104" s="277"/>
      <c r="W104" s="58"/>
    </row>
    <row r="105" spans="1:25" ht="16" customHeight="1">
      <c r="A105" s="269" t="s">
        <v>17</v>
      </c>
      <c r="B105" s="269"/>
      <c r="C105" s="134">
        <v>3.6</v>
      </c>
      <c r="D105" s="134">
        <v>3.3</v>
      </c>
      <c r="E105" s="134">
        <v>3.7</v>
      </c>
      <c r="F105" s="134">
        <v>3.8</v>
      </c>
      <c r="G105" s="134">
        <v>3.6</v>
      </c>
      <c r="H105" s="134">
        <v>3.4</v>
      </c>
      <c r="I105" s="134"/>
      <c r="K105" s="277"/>
      <c r="L105" s="277"/>
      <c r="M105" s="277"/>
      <c r="N105" s="277"/>
      <c r="O105" s="277"/>
      <c r="P105" s="277"/>
      <c r="Q105" s="277"/>
      <c r="R105" s="277"/>
      <c r="S105" s="277"/>
      <c r="T105" s="277"/>
      <c r="U105" s="277"/>
      <c r="W105" s="58"/>
    </row>
    <row r="106" spans="1:25" ht="16" customHeight="1">
      <c r="A106" s="122" t="s">
        <v>35</v>
      </c>
      <c r="B106" s="4"/>
      <c r="C106" s="134">
        <v>2</v>
      </c>
      <c r="D106" s="134">
        <v>1.8</v>
      </c>
      <c r="E106" s="134">
        <v>2.1</v>
      </c>
      <c r="F106" s="134">
        <v>2.8</v>
      </c>
      <c r="G106" s="134">
        <v>2.6</v>
      </c>
      <c r="H106" s="134">
        <v>2.2000000000000002</v>
      </c>
      <c r="I106" s="134"/>
      <c r="K106" s="277"/>
      <c r="L106" s="277"/>
      <c r="M106" s="277"/>
      <c r="N106" s="277"/>
      <c r="O106" s="277"/>
      <c r="P106" s="277"/>
      <c r="Q106" s="277"/>
      <c r="R106" s="277"/>
      <c r="S106" s="277"/>
      <c r="T106" s="277"/>
      <c r="U106" s="277"/>
      <c r="W106" s="58"/>
    </row>
    <row r="107" spans="1:25" ht="16" customHeight="1">
      <c r="A107" s="74" t="s">
        <v>16</v>
      </c>
      <c r="B107" s="26"/>
      <c r="C107" s="138">
        <v>0.7</v>
      </c>
      <c r="D107" s="73">
        <v>0.8</v>
      </c>
      <c r="E107" s="73">
        <v>1</v>
      </c>
      <c r="F107" s="73">
        <v>1.4</v>
      </c>
      <c r="G107" s="73">
        <v>1.4</v>
      </c>
      <c r="H107" s="73">
        <v>1.3</v>
      </c>
      <c r="I107" s="73">
        <v>1.3</v>
      </c>
      <c r="K107" s="277"/>
      <c r="L107" s="277"/>
      <c r="M107" s="277"/>
      <c r="N107" s="277"/>
      <c r="O107" s="277"/>
      <c r="P107" s="277"/>
      <c r="Q107" s="277"/>
      <c r="R107" s="277"/>
      <c r="S107" s="277"/>
      <c r="T107" s="277"/>
      <c r="U107" s="277"/>
      <c r="W107" s="58"/>
    </row>
    <row r="108" spans="1:25" ht="16" customHeight="1">
      <c r="A108" s="124" t="s">
        <v>83</v>
      </c>
      <c r="B108" s="137"/>
      <c r="C108" s="133">
        <v>0.7</v>
      </c>
      <c r="D108" s="133">
        <v>0.8</v>
      </c>
      <c r="E108" s="133">
        <v>1.2</v>
      </c>
      <c r="F108" s="133">
        <v>1.4</v>
      </c>
      <c r="G108" s="133">
        <v>1.3</v>
      </c>
      <c r="H108" s="133">
        <v>1.3</v>
      </c>
      <c r="I108" s="133">
        <v>1.4</v>
      </c>
      <c r="K108" s="277"/>
      <c r="L108" s="277"/>
      <c r="M108" s="277"/>
      <c r="N108" s="277"/>
      <c r="O108" s="277"/>
      <c r="P108" s="277"/>
      <c r="Q108" s="277"/>
      <c r="R108" s="277"/>
      <c r="S108" s="277"/>
      <c r="T108" s="277"/>
      <c r="U108" s="277"/>
      <c r="W108" s="58"/>
    </row>
    <row r="109" spans="1:25" ht="17.25" customHeight="1">
      <c r="A109" s="124" t="s">
        <v>82</v>
      </c>
      <c r="B109" s="137"/>
      <c r="C109" s="133">
        <v>0.4</v>
      </c>
      <c r="D109" s="133">
        <v>0.7</v>
      </c>
      <c r="E109" s="133">
        <v>1</v>
      </c>
      <c r="F109" s="133">
        <v>1.4</v>
      </c>
      <c r="G109" s="133">
        <v>1.3</v>
      </c>
      <c r="H109" s="133">
        <v>1.2</v>
      </c>
      <c r="I109" s="133">
        <v>1</v>
      </c>
      <c r="K109" s="277"/>
      <c r="L109" s="277"/>
      <c r="M109" s="277"/>
      <c r="N109" s="277"/>
      <c r="O109" s="277"/>
      <c r="P109" s="277"/>
      <c r="Q109" s="277"/>
      <c r="R109" s="277"/>
      <c r="S109" s="277"/>
      <c r="T109" s="277"/>
      <c r="U109" s="277"/>
      <c r="W109" s="58"/>
    </row>
    <row r="110" spans="1:25" ht="16" customHeight="1">
      <c r="A110" s="124" t="s">
        <v>38</v>
      </c>
      <c r="B110" s="137"/>
      <c r="C110" s="133">
        <v>0.4</v>
      </c>
      <c r="D110" s="133">
        <v>0.6</v>
      </c>
      <c r="E110" s="133">
        <v>0.9</v>
      </c>
      <c r="F110" s="133">
        <v>1.1000000000000001</v>
      </c>
      <c r="G110" s="133">
        <v>1.1000000000000001</v>
      </c>
      <c r="H110" s="133">
        <v>1.1000000000000001</v>
      </c>
      <c r="I110" s="133">
        <v>1</v>
      </c>
      <c r="K110" s="277"/>
      <c r="L110" s="277"/>
      <c r="M110" s="277"/>
      <c r="N110" s="277"/>
      <c r="O110" s="277"/>
      <c r="P110" s="277"/>
      <c r="Q110" s="277"/>
      <c r="R110" s="277"/>
      <c r="S110" s="277"/>
      <c r="T110" s="277"/>
      <c r="U110" s="277"/>
      <c r="W110" s="58"/>
    </row>
    <row r="111" spans="1:25" ht="16" customHeight="1">
      <c r="K111" s="277"/>
      <c r="L111" s="277"/>
      <c r="M111" s="277"/>
      <c r="N111" s="277"/>
      <c r="O111" s="277"/>
      <c r="P111" s="277"/>
      <c r="Q111" s="277"/>
      <c r="R111" s="277"/>
      <c r="S111" s="277"/>
      <c r="T111" s="277"/>
      <c r="U111" s="277"/>
      <c r="W111" s="58"/>
      <c r="X111" s="8"/>
      <c r="Y111" s="8"/>
    </row>
    <row r="112" spans="1:25" ht="16" customHeight="1">
      <c r="E112" s="2"/>
      <c r="O112" s="132"/>
      <c r="P112" s="132"/>
      <c r="Q112" s="132"/>
      <c r="R112" s="132"/>
      <c r="S112" s="132"/>
      <c r="T112" s="132"/>
      <c r="U112" s="132"/>
      <c r="W112" s="58"/>
      <c r="X112" s="8"/>
      <c r="Y112" s="8"/>
    </row>
    <row r="113" spans="1:25" ht="16" customHeight="1" thickBot="1">
      <c r="A113" s="287" t="s">
        <v>112</v>
      </c>
      <c r="B113" s="287"/>
      <c r="C113" s="287"/>
      <c r="D113" s="287"/>
      <c r="E113" s="287"/>
      <c r="W113" s="58"/>
      <c r="X113" s="8"/>
      <c r="Y113" s="8"/>
    </row>
    <row r="114" spans="1:25" ht="16" customHeight="1">
      <c r="E114" s="2"/>
      <c r="W114" s="58"/>
      <c r="X114" s="8"/>
      <c r="Y114" s="8"/>
    </row>
    <row r="115" spans="1:25" ht="16" customHeight="1">
      <c r="E115" s="2"/>
      <c r="W115" s="58"/>
      <c r="X115" s="8"/>
      <c r="Y115" s="8"/>
    </row>
    <row r="116" spans="1:25" ht="16">
      <c r="A116" s="59"/>
      <c r="B116" s="59"/>
      <c r="C116" s="72"/>
      <c r="D116" s="59"/>
      <c r="E116" s="2"/>
      <c r="W116" s="58"/>
      <c r="X116" s="8"/>
      <c r="Y116" s="8"/>
    </row>
    <row r="117" spans="1:25" ht="16">
      <c r="A117" s="59"/>
      <c r="B117" s="59"/>
      <c r="C117" s="72"/>
      <c r="D117" s="59"/>
      <c r="E117" s="2"/>
      <c r="F117" s="2"/>
      <c r="G117" s="2"/>
      <c r="H117" s="2"/>
      <c r="I117" s="2"/>
      <c r="J117" s="2"/>
      <c r="K117" s="2"/>
      <c r="L117" s="2"/>
      <c r="W117" s="58"/>
      <c r="X117" s="8"/>
      <c r="Y117" s="8"/>
    </row>
    <row r="118" spans="1:25" ht="16">
      <c r="A118" s="2"/>
      <c r="B118" s="2"/>
      <c r="C118" s="2"/>
      <c r="D118" s="2"/>
      <c r="E118" s="2"/>
      <c r="F118" s="2"/>
      <c r="G118" s="2"/>
      <c r="H118" s="2"/>
      <c r="I118" s="2"/>
      <c r="J118" s="2"/>
      <c r="K118" s="2"/>
      <c r="L118" s="2"/>
      <c r="W118" s="58"/>
      <c r="X118" s="8"/>
      <c r="Y118" s="8"/>
    </row>
    <row r="119" spans="1:25" ht="16">
      <c r="A119" s="2"/>
      <c r="B119" s="2"/>
      <c r="C119" s="2"/>
      <c r="D119" s="2"/>
      <c r="E119" s="2"/>
      <c r="F119" s="2"/>
      <c r="G119" s="2"/>
      <c r="H119" s="2"/>
      <c r="I119" s="2"/>
      <c r="J119" s="2"/>
      <c r="K119" s="2"/>
      <c r="L119" s="2"/>
      <c r="W119" s="58"/>
      <c r="X119" s="8"/>
      <c r="Y119" s="8"/>
    </row>
    <row r="120" spans="1:25" ht="16">
      <c r="A120" s="2"/>
      <c r="B120" s="2"/>
      <c r="C120" s="2"/>
      <c r="D120" s="2"/>
      <c r="E120" s="2"/>
      <c r="F120" s="2"/>
      <c r="G120" s="2"/>
      <c r="H120" s="2"/>
      <c r="I120" s="2"/>
      <c r="J120" s="2"/>
      <c r="K120" s="2"/>
      <c r="L120" s="2"/>
      <c r="W120" s="58"/>
      <c r="X120" s="8"/>
      <c r="Y120" s="8"/>
    </row>
    <row r="121" spans="1:25" ht="16">
      <c r="A121" s="2"/>
      <c r="B121" s="2"/>
      <c r="C121" s="2"/>
      <c r="D121" s="2"/>
      <c r="E121" s="2"/>
      <c r="F121" s="2"/>
      <c r="G121" s="2"/>
      <c r="H121" s="2"/>
      <c r="I121" s="2"/>
      <c r="J121" s="2"/>
      <c r="K121" s="2"/>
      <c r="L121" s="2"/>
      <c r="W121" s="58"/>
      <c r="X121" s="8"/>
      <c r="Y121" s="8"/>
    </row>
    <row r="122" spans="1:25" ht="16">
      <c r="A122" s="2"/>
      <c r="B122" s="2"/>
      <c r="C122" s="2"/>
      <c r="D122" s="2"/>
      <c r="E122" s="2"/>
      <c r="F122" s="2"/>
      <c r="G122" s="2"/>
      <c r="H122" s="2"/>
      <c r="I122" s="2"/>
      <c r="J122" s="2"/>
      <c r="K122" s="2"/>
      <c r="L122" s="2"/>
      <c r="W122" s="58"/>
      <c r="X122" s="8"/>
      <c r="Y122" s="8"/>
    </row>
    <row r="123" spans="1:25" ht="16">
      <c r="A123" s="2"/>
      <c r="B123" s="2"/>
      <c r="C123" s="2"/>
      <c r="D123" s="2"/>
      <c r="E123" s="2"/>
      <c r="F123" s="2"/>
      <c r="G123" s="2"/>
      <c r="H123" s="2"/>
      <c r="I123" s="2"/>
      <c r="J123" s="2"/>
      <c r="K123" s="2"/>
      <c r="L123" s="2"/>
      <c r="W123" s="58"/>
      <c r="X123" s="8"/>
      <c r="Y123" s="8"/>
    </row>
    <row r="124" spans="1:25" ht="16">
      <c r="A124" s="2"/>
      <c r="B124" s="2"/>
      <c r="C124" s="2"/>
      <c r="D124" s="2"/>
      <c r="E124" s="2"/>
      <c r="F124" s="2"/>
      <c r="G124" s="2"/>
      <c r="H124" s="2"/>
      <c r="I124" s="2"/>
      <c r="J124" s="2"/>
      <c r="K124" s="2"/>
      <c r="L124" s="2"/>
      <c r="W124" s="58"/>
      <c r="X124" s="8"/>
      <c r="Y124" s="8"/>
    </row>
    <row r="125" spans="1:25" ht="16">
      <c r="A125" s="2"/>
      <c r="B125" s="2"/>
      <c r="C125" s="2"/>
      <c r="D125" s="2"/>
      <c r="E125" s="2"/>
      <c r="F125" s="2"/>
      <c r="G125" s="2"/>
      <c r="H125" s="2"/>
      <c r="I125" s="2"/>
      <c r="J125" s="2"/>
      <c r="K125" s="2"/>
      <c r="L125" s="2"/>
      <c r="W125" s="58"/>
      <c r="X125" s="8"/>
      <c r="Y125" s="8"/>
    </row>
    <row r="126" spans="1:25" ht="16">
      <c r="A126" s="2"/>
      <c r="B126" s="2"/>
      <c r="C126" s="2"/>
      <c r="D126" s="2"/>
      <c r="E126" s="2"/>
      <c r="F126" s="2"/>
      <c r="G126" s="2"/>
      <c r="H126" s="2"/>
      <c r="I126" s="2"/>
      <c r="J126" s="2"/>
      <c r="K126" s="2"/>
      <c r="L126" s="2"/>
      <c r="W126" s="58"/>
      <c r="X126" s="8"/>
      <c r="Y126" s="8"/>
    </row>
    <row r="127" spans="1:25" ht="16">
      <c r="A127" s="2"/>
      <c r="B127" s="2"/>
      <c r="C127" s="2"/>
      <c r="D127" s="2"/>
      <c r="E127" s="2"/>
      <c r="F127" s="2"/>
      <c r="G127" s="2"/>
      <c r="H127" s="2"/>
      <c r="I127" s="2"/>
      <c r="J127" s="2"/>
      <c r="K127" s="2"/>
      <c r="L127" s="2"/>
      <c r="W127" s="58"/>
      <c r="X127" s="8"/>
      <c r="Y127" s="8"/>
    </row>
    <row r="128" spans="1:25" ht="16">
      <c r="A128" s="2"/>
      <c r="B128" s="2"/>
      <c r="C128" s="2"/>
      <c r="D128" s="2"/>
      <c r="E128" s="2"/>
      <c r="F128" s="2"/>
      <c r="G128" s="2"/>
      <c r="H128" s="2"/>
      <c r="I128" s="2"/>
      <c r="J128" s="2"/>
      <c r="K128" s="2"/>
      <c r="L128" s="2"/>
      <c r="W128" s="58"/>
      <c r="X128" s="8"/>
      <c r="Y128" s="8"/>
    </row>
    <row r="129" spans="1:25" ht="16">
      <c r="A129" s="2"/>
      <c r="B129" s="2"/>
      <c r="C129" s="2"/>
      <c r="D129" s="2"/>
      <c r="E129" s="2"/>
      <c r="F129" s="2"/>
      <c r="G129" s="2"/>
      <c r="H129" s="2"/>
      <c r="I129" s="2"/>
      <c r="J129" s="2"/>
      <c r="K129" s="2"/>
      <c r="L129" s="2"/>
      <c r="W129" s="58"/>
      <c r="X129" s="8"/>
      <c r="Y129" s="8"/>
    </row>
    <row r="130" spans="1:25" ht="16">
      <c r="A130" s="2"/>
      <c r="B130" s="2"/>
      <c r="C130" s="2"/>
      <c r="D130" s="2"/>
      <c r="E130" s="2"/>
      <c r="F130" s="2"/>
      <c r="G130" s="2"/>
      <c r="H130" s="2"/>
      <c r="I130" s="2"/>
      <c r="J130" s="2"/>
      <c r="K130" s="2"/>
      <c r="L130" s="2"/>
      <c r="W130" s="58"/>
      <c r="X130" s="8"/>
      <c r="Y130" s="8"/>
    </row>
    <row r="131" spans="1:25" ht="16">
      <c r="A131" s="2"/>
      <c r="B131" s="2"/>
      <c r="C131" s="2"/>
      <c r="D131" s="2"/>
      <c r="E131" s="2"/>
      <c r="F131" s="2"/>
      <c r="G131" s="2"/>
      <c r="H131" s="2"/>
      <c r="I131" s="2"/>
      <c r="J131" s="2"/>
      <c r="K131" s="2"/>
      <c r="L131" s="2"/>
      <c r="W131" s="58"/>
      <c r="X131" s="8"/>
      <c r="Y131" s="8"/>
    </row>
    <row r="132" spans="1:25" ht="16">
      <c r="A132" s="2"/>
      <c r="B132" s="2"/>
      <c r="C132" s="2"/>
      <c r="D132" s="2"/>
      <c r="E132" s="2"/>
      <c r="F132" s="2"/>
      <c r="G132" s="2"/>
      <c r="H132" s="2"/>
      <c r="I132" s="2"/>
      <c r="J132" s="2"/>
      <c r="K132" s="2"/>
      <c r="L132" s="2"/>
      <c r="W132" s="58"/>
      <c r="X132" s="8"/>
      <c r="Y132" s="8"/>
    </row>
    <row r="133" spans="1:25" ht="34" customHeight="1" thickBot="1">
      <c r="A133" s="147" t="s">
        <v>114</v>
      </c>
      <c r="B133" s="44"/>
      <c r="C133" s="44"/>
      <c r="D133" s="44"/>
      <c r="E133" s="44"/>
      <c r="F133" s="44"/>
      <c r="G133" s="44"/>
      <c r="H133" s="44"/>
      <c r="I133" s="44"/>
      <c r="J133" s="44"/>
      <c r="K133" s="44"/>
      <c r="L133" s="44"/>
      <c r="M133" s="44"/>
      <c r="N133" s="44"/>
      <c r="O133" s="44"/>
      <c r="P133" s="44"/>
      <c r="Q133" s="44"/>
      <c r="R133" s="44"/>
      <c r="S133" s="44"/>
      <c r="T133" s="44"/>
      <c r="U133" s="44"/>
      <c r="V133" s="140"/>
      <c r="W133" s="58"/>
      <c r="X133" s="8"/>
      <c r="Y133" s="8"/>
    </row>
    <row r="134" spans="1:25" ht="18" customHeight="1">
      <c r="A134" s="143"/>
      <c r="W134" s="58"/>
      <c r="X134" s="8"/>
      <c r="Y134" s="8"/>
    </row>
    <row r="135" spans="1:25" ht="18" customHeight="1" thickBot="1">
      <c r="A135" s="148" t="s">
        <v>129</v>
      </c>
      <c r="B135" s="149"/>
      <c r="C135" s="149"/>
      <c r="D135" s="149"/>
      <c r="E135" s="149"/>
      <c r="F135" s="149"/>
      <c r="G135" s="149"/>
      <c r="H135" s="150"/>
      <c r="I135" s="150"/>
      <c r="J135" s="150"/>
      <c r="K135" s="150"/>
      <c r="L135" s="150"/>
      <c r="M135" s="150"/>
      <c r="N135" s="145"/>
      <c r="O135" s="146"/>
      <c r="P135" s="146"/>
      <c r="Q135" s="146"/>
      <c r="R135" s="146"/>
      <c r="S135" s="146"/>
      <c r="T135" s="146"/>
      <c r="U135" s="146"/>
      <c r="V135" s="146"/>
      <c r="W135" s="58"/>
      <c r="X135" s="8"/>
      <c r="Y135" s="8"/>
    </row>
    <row r="136" spans="1:25" ht="20.25" customHeight="1">
      <c r="A136" s="146"/>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58"/>
      <c r="X136" s="8"/>
      <c r="Y136" s="8"/>
    </row>
    <row r="137" spans="1:25" ht="17.25" customHeight="1">
      <c r="A137" s="285" t="s">
        <v>177</v>
      </c>
      <c r="B137" s="285"/>
      <c r="C137" s="285"/>
      <c r="D137" s="285"/>
      <c r="E137" s="285"/>
      <c r="F137" s="285"/>
      <c r="G137" s="285"/>
      <c r="H137" s="285"/>
      <c r="I137" s="285"/>
      <c r="J137" s="285"/>
      <c r="K137" s="285"/>
      <c r="L137" s="285"/>
      <c r="M137" s="285"/>
      <c r="N137" s="285"/>
      <c r="O137" s="285"/>
      <c r="P137" s="285"/>
      <c r="Q137" s="285"/>
      <c r="R137" s="285"/>
      <c r="S137" s="285"/>
      <c r="T137" s="285"/>
      <c r="U137" s="285"/>
      <c r="V137" s="285"/>
      <c r="W137" s="58"/>
      <c r="X137" s="8"/>
      <c r="Y137" s="8"/>
    </row>
    <row r="138" spans="1:25" ht="17.25" customHeight="1">
      <c r="A138" s="285"/>
      <c r="B138" s="285"/>
      <c r="C138" s="285"/>
      <c r="D138" s="285"/>
      <c r="E138" s="285"/>
      <c r="F138" s="285"/>
      <c r="G138" s="285"/>
      <c r="H138" s="285"/>
      <c r="I138" s="285"/>
      <c r="J138" s="285"/>
      <c r="K138" s="285"/>
      <c r="L138" s="285"/>
      <c r="M138" s="285"/>
      <c r="N138" s="285"/>
      <c r="O138" s="285"/>
      <c r="P138" s="285"/>
      <c r="Q138" s="285"/>
      <c r="R138" s="285"/>
      <c r="S138" s="285"/>
      <c r="T138" s="285"/>
      <c r="U138" s="285"/>
      <c r="V138" s="285"/>
      <c r="W138" s="58"/>
      <c r="X138" s="8"/>
      <c r="Y138" s="8"/>
    </row>
    <row r="139" spans="1:25">
      <c r="A139" s="285"/>
      <c r="B139" s="285"/>
      <c r="C139" s="285"/>
      <c r="D139" s="285"/>
      <c r="E139" s="285"/>
      <c r="F139" s="285"/>
      <c r="G139" s="285"/>
      <c r="H139" s="285"/>
      <c r="I139" s="285"/>
      <c r="J139" s="285"/>
      <c r="K139" s="285"/>
      <c r="L139" s="285"/>
      <c r="M139" s="285"/>
      <c r="N139" s="285"/>
      <c r="O139" s="285"/>
      <c r="P139" s="285"/>
      <c r="Q139" s="285"/>
      <c r="R139" s="285"/>
      <c r="S139" s="285"/>
      <c r="T139" s="285"/>
      <c r="U139" s="285"/>
      <c r="V139" s="285"/>
      <c r="W139" s="58"/>
      <c r="X139" s="8"/>
      <c r="Y139" s="8"/>
    </row>
    <row r="140" spans="1:25" ht="17.25" customHeight="1">
      <c r="A140" s="285"/>
      <c r="B140" s="285"/>
      <c r="C140" s="285"/>
      <c r="D140" s="285"/>
      <c r="E140" s="285"/>
      <c r="F140" s="285"/>
      <c r="G140" s="285"/>
      <c r="H140" s="285"/>
      <c r="I140" s="285"/>
      <c r="J140" s="285"/>
      <c r="K140" s="285"/>
      <c r="L140" s="285"/>
      <c r="M140" s="285"/>
      <c r="N140" s="285"/>
      <c r="O140" s="285"/>
      <c r="P140" s="285"/>
      <c r="Q140" s="285"/>
      <c r="R140" s="285"/>
      <c r="S140" s="285"/>
      <c r="T140" s="285"/>
      <c r="U140" s="285"/>
      <c r="V140" s="285"/>
      <c r="W140" s="58"/>
      <c r="X140" s="8"/>
      <c r="Y140" s="8"/>
    </row>
    <row r="141" spans="1:25" ht="16" customHeight="1">
      <c r="A141" s="285"/>
      <c r="B141" s="285"/>
      <c r="C141" s="285"/>
      <c r="D141" s="285"/>
      <c r="E141" s="285"/>
      <c r="F141" s="285"/>
      <c r="G141" s="285"/>
      <c r="H141" s="285"/>
      <c r="I141" s="285"/>
      <c r="J141" s="285"/>
      <c r="K141" s="285"/>
      <c r="L141" s="285"/>
      <c r="M141" s="285"/>
      <c r="N141" s="285"/>
      <c r="O141" s="285"/>
      <c r="P141" s="285"/>
      <c r="Q141" s="285"/>
      <c r="R141" s="285"/>
      <c r="S141" s="285"/>
      <c r="T141" s="285"/>
      <c r="U141" s="285"/>
      <c r="V141" s="285"/>
      <c r="W141" s="58"/>
      <c r="X141" s="8"/>
      <c r="Y141" s="8"/>
    </row>
    <row r="142" spans="1:25" ht="16" customHeight="1">
      <c r="A142" s="285"/>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58"/>
      <c r="X142" s="8"/>
      <c r="Y142" s="8"/>
    </row>
    <row r="143" spans="1:25" ht="16" customHeight="1">
      <c r="A143" s="285"/>
      <c r="B143" s="285"/>
      <c r="C143" s="285"/>
      <c r="D143" s="285"/>
      <c r="E143" s="285"/>
      <c r="F143" s="285"/>
      <c r="G143" s="285"/>
      <c r="H143" s="285"/>
      <c r="I143" s="285"/>
      <c r="J143" s="285"/>
      <c r="K143" s="285"/>
      <c r="L143" s="285"/>
      <c r="M143" s="285"/>
      <c r="N143" s="285"/>
      <c r="O143" s="285"/>
      <c r="P143" s="285"/>
      <c r="Q143" s="285"/>
      <c r="R143" s="285"/>
      <c r="S143" s="285"/>
      <c r="T143" s="285"/>
      <c r="U143" s="285"/>
      <c r="V143" s="285"/>
      <c r="W143" s="58"/>
      <c r="X143" s="8"/>
      <c r="Y143" s="8"/>
    </row>
    <row r="144" spans="1:25" ht="16" customHeight="1">
      <c r="A144" s="285"/>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58"/>
      <c r="X144" s="8"/>
      <c r="Y144" s="8"/>
    </row>
    <row r="145" spans="1:34" ht="16" customHeight="1">
      <c r="A145" s="2"/>
      <c r="B145" s="2"/>
      <c r="C145" s="2"/>
      <c r="D145" s="2"/>
      <c r="E145" s="2"/>
      <c r="F145" s="2"/>
      <c r="G145" s="2"/>
      <c r="H145" s="2"/>
      <c r="I145" s="2"/>
      <c r="J145" s="2"/>
      <c r="K145" s="2"/>
      <c r="L145" s="2"/>
      <c r="W145" s="58"/>
      <c r="X145" s="8"/>
      <c r="Y145" s="8"/>
    </row>
    <row r="146" spans="1:34" ht="16" customHeight="1" thickBot="1">
      <c r="A146" s="273" t="s">
        <v>90</v>
      </c>
      <c r="B146" s="273"/>
      <c r="C146" s="273"/>
      <c r="D146" s="273"/>
      <c r="E146" s="273"/>
      <c r="F146" s="273"/>
      <c r="G146" s="273"/>
      <c r="H146" s="273"/>
      <c r="I146" s="273"/>
      <c r="J146" s="71"/>
      <c r="K146" s="2"/>
      <c r="L146" s="273" t="s">
        <v>89</v>
      </c>
      <c r="M146" s="273"/>
      <c r="N146" s="273"/>
      <c r="O146" s="273"/>
      <c r="P146" s="273"/>
      <c r="Q146" s="273"/>
      <c r="R146" s="273"/>
      <c r="S146" s="273"/>
      <c r="T146" s="273"/>
      <c r="U146" s="2"/>
      <c r="V146" s="2"/>
      <c r="W146" s="58"/>
      <c r="X146" s="8"/>
      <c r="Y146" s="8"/>
    </row>
    <row r="147" spans="1:34" ht="16" customHeight="1">
      <c r="A147" s="281" t="s">
        <v>178</v>
      </c>
      <c r="B147" s="282"/>
      <c r="C147" s="282"/>
      <c r="D147" s="282"/>
      <c r="E147" s="282"/>
      <c r="F147" s="282"/>
      <c r="G147" s="282"/>
      <c r="H147" s="282"/>
      <c r="I147" s="282"/>
      <c r="J147" s="71"/>
      <c r="K147" s="2"/>
      <c r="L147" s="264" t="s">
        <v>179</v>
      </c>
      <c r="M147" s="264"/>
      <c r="N147" s="264"/>
      <c r="O147" s="264"/>
      <c r="P147" s="264"/>
      <c r="Q147" s="264"/>
      <c r="R147" s="264"/>
      <c r="S147" s="264"/>
      <c r="T147" s="264"/>
      <c r="U147" s="264"/>
      <c r="V147" s="264"/>
      <c r="W147" s="58"/>
      <c r="X147" s="8"/>
      <c r="Y147" s="8"/>
    </row>
    <row r="148" spans="1:34" ht="16" customHeight="1">
      <c r="A148" s="283"/>
      <c r="B148" s="283"/>
      <c r="C148" s="283"/>
      <c r="D148" s="283"/>
      <c r="E148" s="283"/>
      <c r="F148" s="283"/>
      <c r="G148" s="283"/>
      <c r="H148" s="283"/>
      <c r="I148" s="283"/>
      <c r="J148" s="70"/>
      <c r="K148" s="70"/>
      <c r="L148" s="264"/>
      <c r="M148" s="264"/>
      <c r="N148" s="264"/>
      <c r="O148" s="264"/>
      <c r="P148" s="264"/>
      <c r="Q148" s="264"/>
      <c r="R148" s="264"/>
      <c r="S148" s="264"/>
      <c r="T148" s="264"/>
      <c r="U148" s="264"/>
      <c r="V148" s="264"/>
      <c r="W148" s="58"/>
      <c r="X148" s="8"/>
      <c r="Y148" s="8"/>
    </row>
    <row r="149" spans="1:34" ht="16" customHeight="1">
      <c r="A149" s="283"/>
      <c r="B149" s="283"/>
      <c r="C149" s="283"/>
      <c r="D149" s="283"/>
      <c r="E149" s="283"/>
      <c r="F149" s="283"/>
      <c r="G149" s="283"/>
      <c r="H149" s="283"/>
      <c r="I149" s="283"/>
      <c r="J149" s="70"/>
      <c r="K149" s="70"/>
      <c r="L149" s="264"/>
      <c r="M149" s="264"/>
      <c r="N149" s="264"/>
      <c r="O149" s="264"/>
      <c r="P149" s="264"/>
      <c r="Q149" s="264"/>
      <c r="R149" s="264"/>
      <c r="S149" s="264"/>
      <c r="T149" s="264"/>
      <c r="U149" s="264"/>
      <c r="V149" s="264"/>
      <c r="W149" s="58"/>
      <c r="X149" s="8"/>
      <c r="Y149" s="8"/>
    </row>
    <row r="150" spans="1:34" ht="16" customHeight="1">
      <c r="A150" s="283"/>
      <c r="B150" s="283"/>
      <c r="C150" s="283"/>
      <c r="D150" s="283"/>
      <c r="E150" s="283"/>
      <c r="F150" s="283"/>
      <c r="G150" s="283"/>
      <c r="H150" s="283"/>
      <c r="I150" s="283"/>
      <c r="J150" s="69"/>
      <c r="K150" s="69"/>
      <c r="L150" s="264"/>
      <c r="M150" s="264"/>
      <c r="N150" s="264"/>
      <c r="O150" s="264"/>
      <c r="P150" s="264"/>
      <c r="Q150" s="264"/>
      <c r="R150" s="264"/>
      <c r="S150" s="264"/>
      <c r="T150" s="264"/>
      <c r="U150" s="264"/>
      <c r="V150" s="264"/>
      <c r="W150" s="58"/>
      <c r="X150" s="8"/>
      <c r="Y150" s="8"/>
    </row>
    <row r="151" spans="1:34" ht="16" customHeight="1">
      <c r="E151" s="68"/>
      <c r="K151" s="2"/>
      <c r="L151" s="264"/>
      <c r="M151" s="264"/>
      <c r="N151" s="264"/>
      <c r="O151" s="264"/>
      <c r="P151" s="264"/>
      <c r="Q151" s="264"/>
      <c r="R151" s="264"/>
      <c r="S151" s="264"/>
      <c r="T151" s="264"/>
      <c r="U151" s="264"/>
      <c r="V151" s="264"/>
      <c r="W151" s="58"/>
      <c r="X151" s="8"/>
      <c r="Y151" s="8"/>
    </row>
    <row r="152" spans="1:34" ht="16" customHeight="1" thickBot="1">
      <c r="A152" s="275" t="s">
        <v>57</v>
      </c>
      <c r="B152" s="275"/>
      <c r="C152" s="66"/>
      <c r="D152" s="66" t="s">
        <v>88</v>
      </c>
      <c r="E152" s="2"/>
      <c r="K152" s="56"/>
      <c r="L152" s="288" t="s">
        <v>87</v>
      </c>
      <c r="M152" s="288"/>
      <c r="N152" s="67"/>
      <c r="O152" s="66" t="s">
        <v>86</v>
      </c>
      <c r="P152" s="2"/>
      <c r="Q152" s="56"/>
      <c r="R152" s="56"/>
      <c r="S152" s="56"/>
      <c r="T152" s="56"/>
      <c r="U152" s="56"/>
      <c r="V152" s="56"/>
      <c r="W152" s="58"/>
      <c r="X152" s="8"/>
      <c r="Y152" s="8"/>
      <c r="AH152" s="2"/>
    </row>
    <row r="153" spans="1:34" ht="17">
      <c r="A153" s="270" t="s">
        <v>34</v>
      </c>
      <c r="B153" s="270"/>
      <c r="C153" s="62"/>
      <c r="D153" s="128">
        <v>0.35802469135802467</v>
      </c>
      <c r="E153" s="2"/>
      <c r="K153" s="56"/>
      <c r="L153" s="270" t="s">
        <v>34</v>
      </c>
      <c r="M153" s="270"/>
      <c r="N153" s="130"/>
      <c r="O153" s="182">
        <v>0.252</v>
      </c>
      <c r="P153" s="2"/>
      <c r="Q153" s="56"/>
      <c r="R153" s="56"/>
      <c r="S153" s="56"/>
      <c r="T153" s="56"/>
      <c r="U153" s="56"/>
      <c r="V153" s="56"/>
      <c r="W153" s="58"/>
      <c r="X153" s="8"/>
      <c r="Y153" s="8"/>
      <c r="AH153" s="2"/>
    </row>
    <row r="154" spans="1:34" ht="17">
      <c r="A154" s="269" t="s">
        <v>17</v>
      </c>
      <c r="B154" s="269"/>
      <c r="C154" s="62"/>
      <c r="D154" s="128">
        <v>0.35537190082644632</v>
      </c>
      <c r="E154" s="2"/>
      <c r="K154" s="56"/>
      <c r="L154" s="269" t="s">
        <v>17</v>
      </c>
      <c r="M154" s="269"/>
      <c r="N154" s="130"/>
      <c r="O154" s="182">
        <v>0.3</v>
      </c>
      <c r="P154" s="2"/>
      <c r="Q154" s="56"/>
      <c r="R154" s="56"/>
      <c r="S154" s="56"/>
      <c r="T154" s="56"/>
      <c r="U154" s="56"/>
      <c r="V154" s="56"/>
      <c r="W154" s="58"/>
      <c r="X154" s="8"/>
      <c r="Y154" s="8"/>
      <c r="AH154" s="2"/>
    </row>
    <row r="155" spans="1:34" ht="17">
      <c r="A155" s="269" t="s">
        <v>35</v>
      </c>
      <c r="B155" s="269"/>
      <c r="C155" s="62"/>
      <c r="D155" s="128">
        <v>0.28947368421052638</v>
      </c>
      <c r="E155" s="2"/>
      <c r="K155" s="56"/>
      <c r="L155" s="269" t="s">
        <v>35</v>
      </c>
      <c r="M155" s="269"/>
      <c r="N155" s="130"/>
      <c r="O155" s="182">
        <v>0.35899999999999999</v>
      </c>
      <c r="P155" s="2"/>
      <c r="Q155" s="56"/>
      <c r="R155" s="56"/>
      <c r="S155" s="56"/>
      <c r="T155" s="56"/>
      <c r="U155" s="56"/>
      <c r="V155" s="56"/>
      <c r="W155" s="58"/>
      <c r="X155" s="8"/>
      <c r="Y155" s="8"/>
      <c r="AH155" s="2"/>
    </row>
    <row r="156" spans="1:34" ht="17">
      <c r="A156" s="271" t="s">
        <v>36</v>
      </c>
      <c r="B156" s="271"/>
      <c r="C156" s="125"/>
      <c r="D156" s="129">
        <v>0.18987341772151894</v>
      </c>
      <c r="K156" s="56"/>
      <c r="L156" s="271" t="s">
        <v>37</v>
      </c>
      <c r="M156" s="271"/>
      <c r="N156" s="124"/>
      <c r="O156" s="183">
        <v>0.379</v>
      </c>
      <c r="P156" s="2"/>
      <c r="Q156" s="56"/>
      <c r="R156" s="56"/>
      <c r="S156" s="56"/>
      <c r="T156" s="56"/>
      <c r="U156" s="56"/>
      <c r="V156" s="56"/>
      <c r="W156" s="58"/>
      <c r="X156" s="8"/>
      <c r="Y156" s="8"/>
      <c r="AH156" s="2"/>
    </row>
    <row r="157" spans="1:34" ht="17">
      <c r="A157" s="271" t="s">
        <v>37</v>
      </c>
      <c r="B157" s="271"/>
      <c r="C157" s="125"/>
      <c r="D157" s="129">
        <v>0.17910447761194029</v>
      </c>
      <c r="K157" s="56"/>
      <c r="L157" s="271" t="s">
        <v>36</v>
      </c>
      <c r="M157" s="271"/>
      <c r="N157" s="124"/>
      <c r="O157" s="183">
        <v>0.42699999999999999</v>
      </c>
      <c r="P157" s="2"/>
      <c r="Q157" s="56"/>
      <c r="R157" s="56"/>
      <c r="S157" s="56"/>
      <c r="T157" s="56"/>
      <c r="U157" s="56"/>
      <c r="V157" s="56"/>
      <c r="W157" s="58"/>
      <c r="X157" s="8"/>
      <c r="Y157" s="8"/>
      <c r="AH157" s="2"/>
    </row>
    <row r="158" spans="1:34" ht="17">
      <c r="A158" s="271" t="s">
        <v>38</v>
      </c>
      <c r="B158" s="271"/>
      <c r="C158" s="125"/>
      <c r="D158" s="129">
        <v>0.13157894736842105</v>
      </c>
      <c r="K158" s="56"/>
      <c r="L158" s="271" t="s">
        <v>38</v>
      </c>
      <c r="M158" s="271"/>
      <c r="N158" s="124"/>
      <c r="O158" s="183">
        <v>0.42699999999999999</v>
      </c>
      <c r="T158" s="56"/>
      <c r="U158" s="56"/>
      <c r="V158" s="56"/>
      <c r="W158" s="58"/>
      <c r="X158" s="8"/>
      <c r="Y158" s="8"/>
      <c r="AH158" s="2"/>
    </row>
    <row r="159" spans="1:34" ht="17.25" customHeight="1">
      <c r="A159" s="268" t="s">
        <v>16</v>
      </c>
      <c r="B159" s="268"/>
      <c r="C159" s="63"/>
      <c r="D159" s="64">
        <v>0.12359550561797754</v>
      </c>
      <c r="E159" s="2"/>
      <c r="K159" s="56"/>
      <c r="L159" s="268" t="s">
        <v>16</v>
      </c>
      <c r="M159" s="268"/>
      <c r="N159" s="25"/>
      <c r="O159" s="184">
        <v>0.43</v>
      </c>
      <c r="P159" s="2"/>
      <c r="Q159" s="56"/>
      <c r="R159" s="56"/>
      <c r="S159" s="56"/>
      <c r="T159" s="56"/>
      <c r="U159" s="56"/>
      <c r="V159" s="56"/>
      <c r="W159" s="58"/>
      <c r="X159" s="8"/>
      <c r="Y159" s="8"/>
      <c r="AH159" s="2"/>
    </row>
    <row r="160" spans="1:34" ht="16" customHeight="1">
      <c r="E160" s="2"/>
      <c r="K160" s="56"/>
      <c r="M160" s="56"/>
      <c r="N160" s="56"/>
      <c r="O160" s="56"/>
      <c r="P160" s="56"/>
      <c r="Q160" s="56"/>
      <c r="R160" s="56"/>
      <c r="S160" s="56"/>
      <c r="T160" s="56"/>
      <c r="U160" s="56"/>
      <c r="V160" s="56"/>
      <c r="W160" s="58"/>
      <c r="X160" s="8"/>
      <c r="Y160" s="8"/>
      <c r="AH160" s="2"/>
    </row>
    <row r="161" spans="1:34" ht="16" customHeight="1">
      <c r="A161" s="277" t="s">
        <v>180</v>
      </c>
      <c r="B161" s="277"/>
      <c r="C161" s="277"/>
      <c r="D161" s="277"/>
      <c r="E161" s="277"/>
      <c r="F161" s="277"/>
      <c r="G161" s="277"/>
      <c r="H161" s="277"/>
      <c r="I161" s="277"/>
      <c r="J161" s="56"/>
      <c r="K161" s="56"/>
      <c r="L161" s="277" t="s">
        <v>182</v>
      </c>
      <c r="M161" s="277"/>
      <c r="N161" s="277"/>
      <c r="O161" s="277"/>
      <c r="P161" s="277"/>
      <c r="Q161" s="277"/>
      <c r="R161" s="277"/>
      <c r="S161" s="277"/>
      <c r="T161" s="277"/>
      <c r="U161" s="56"/>
      <c r="V161" s="56"/>
      <c r="W161" s="58"/>
      <c r="X161" s="8"/>
      <c r="Y161" s="8"/>
      <c r="AH161" s="2"/>
    </row>
    <row r="162" spans="1:34" ht="16" customHeight="1">
      <c r="A162" s="277"/>
      <c r="B162" s="277"/>
      <c r="C162" s="277"/>
      <c r="D162" s="277"/>
      <c r="E162" s="277"/>
      <c r="F162" s="277"/>
      <c r="G162" s="277"/>
      <c r="H162" s="277"/>
      <c r="I162" s="277"/>
      <c r="J162" s="56"/>
      <c r="K162" s="56"/>
      <c r="L162" s="277"/>
      <c r="M162" s="277"/>
      <c r="N162" s="277"/>
      <c r="O162" s="277"/>
      <c r="P162" s="277"/>
      <c r="Q162" s="277"/>
      <c r="R162" s="277"/>
      <c r="S162" s="277"/>
      <c r="T162" s="277"/>
      <c r="U162" s="56"/>
      <c r="V162" s="56"/>
      <c r="W162" s="58"/>
      <c r="X162" s="8"/>
      <c r="Y162" s="8"/>
      <c r="AH162" s="2"/>
    </row>
    <row r="163" spans="1:34" ht="16" customHeight="1">
      <c r="A163" s="277"/>
      <c r="B163" s="277"/>
      <c r="C163" s="277"/>
      <c r="D163" s="277"/>
      <c r="E163" s="277"/>
      <c r="F163" s="277"/>
      <c r="G163" s="277"/>
      <c r="H163" s="277"/>
      <c r="I163" s="277"/>
      <c r="J163" s="56"/>
      <c r="K163" s="56"/>
      <c r="L163" s="277"/>
      <c r="M163" s="277"/>
      <c r="N163" s="277"/>
      <c r="O163" s="277"/>
      <c r="P163" s="277"/>
      <c r="Q163" s="277"/>
      <c r="R163" s="277"/>
      <c r="S163" s="277"/>
      <c r="T163" s="277"/>
      <c r="U163" s="56"/>
      <c r="V163" s="56"/>
      <c r="W163" s="58"/>
      <c r="X163" s="8"/>
      <c r="Y163" s="8"/>
      <c r="AH163" s="2"/>
    </row>
    <row r="164" spans="1:34" ht="16" customHeight="1">
      <c r="A164" s="277"/>
      <c r="B164" s="277"/>
      <c r="C164" s="277"/>
      <c r="D164" s="277"/>
      <c r="E164" s="277"/>
      <c r="F164" s="277"/>
      <c r="G164" s="277"/>
      <c r="H164" s="277"/>
      <c r="I164" s="277"/>
      <c r="J164" s="56"/>
      <c r="K164" s="56"/>
      <c r="L164" s="277"/>
      <c r="M164" s="277"/>
      <c r="N164" s="277"/>
      <c r="O164" s="277"/>
      <c r="P164" s="277"/>
      <c r="Q164" s="277"/>
      <c r="R164" s="277"/>
      <c r="S164" s="277"/>
      <c r="T164" s="277"/>
      <c r="U164" s="56"/>
      <c r="V164" s="56"/>
      <c r="W164" s="58"/>
      <c r="X164" s="8"/>
      <c r="Y164" s="8"/>
      <c r="AH164" s="2"/>
    </row>
    <row r="165" spans="1:34" ht="16" customHeight="1">
      <c r="A165" s="277"/>
      <c r="B165" s="277"/>
      <c r="C165" s="277"/>
      <c r="D165" s="277"/>
      <c r="E165" s="277"/>
      <c r="F165" s="277"/>
      <c r="G165" s="277"/>
      <c r="H165" s="277"/>
      <c r="I165" s="277"/>
      <c r="J165" s="56"/>
      <c r="K165" s="56"/>
      <c r="L165" s="277"/>
      <c r="M165" s="277"/>
      <c r="N165" s="277"/>
      <c r="O165" s="277"/>
      <c r="P165" s="277"/>
      <c r="Q165" s="277"/>
      <c r="R165" s="277"/>
      <c r="S165" s="277"/>
      <c r="T165" s="277"/>
      <c r="U165" s="56"/>
      <c r="V165" s="56"/>
      <c r="W165" s="58"/>
      <c r="X165" s="8"/>
      <c r="Y165" s="8"/>
      <c r="AH165" s="2"/>
    </row>
    <row r="166" spans="1:34" ht="16" customHeight="1">
      <c r="A166" s="277"/>
      <c r="B166" s="277"/>
      <c r="C166" s="277"/>
      <c r="D166" s="277"/>
      <c r="E166" s="277"/>
      <c r="F166" s="277"/>
      <c r="G166" s="277"/>
      <c r="H166" s="277"/>
      <c r="I166" s="277"/>
      <c r="J166" s="56"/>
      <c r="K166" s="56"/>
      <c r="L166" s="277"/>
      <c r="M166" s="277"/>
      <c r="N166" s="277"/>
      <c r="O166" s="277"/>
      <c r="P166" s="277"/>
      <c r="Q166" s="277"/>
      <c r="R166" s="277"/>
      <c r="S166" s="277"/>
      <c r="T166" s="277"/>
      <c r="U166" s="56"/>
      <c r="V166" s="56"/>
      <c r="W166" s="58"/>
      <c r="X166" s="8"/>
      <c r="Y166" s="8"/>
      <c r="AH166" s="2"/>
    </row>
    <row r="167" spans="1:34" ht="16" customHeight="1">
      <c r="A167" s="277"/>
      <c r="B167" s="277"/>
      <c r="C167" s="277"/>
      <c r="D167" s="277"/>
      <c r="E167" s="277"/>
      <c r="F167" s="277"/>
      <c r="G167" s="277"/>
      <c r="H167" s="277"/>
      <c r="I167" s="277"/>
      <c r="J167" s="56"/>
      <c r="K167" s="56"/>
      <c r="L167" s="277"/>
      <c r="M167" s="277"/>
      <c r="N167" s="277"/>
      <c r="O167" s="277"/>
      <c r="P167" s="277"/>
      <c r="Q167" s="277"/>
      <c r="R167" s="277"/>
      <c r="S167" s="277"/>
      <c r="T167" s="277"/>
      <c r="U167" s="56"/>
      <c r="V167" s="56"/>
      <c r="W167" s="58"/>
      <c r="X167" s="8"/>
      <c r="Y167" s="8"/>
      <c r="AH167" s="2"/>
    </row>
    <row r="168" spans="1:34" ht="16" customHeight="1">
      <c r="A168" s="277"/>
      <c r="B168" s="277"/>
      <c r="C168" s="277"/>
      <c r="D168" s="277"/>
      <c r="E168" s="277"/>
      <c r="F168" s="277"/>
      <c r="G168" s="277"/>
      <c r="H168" s="277"/>
      <c r="I168" s="277"/>
      <c r="J168" s="56"/>
      <c r="K168" s="56"/>
      <c r="L168" s="277"/>
      <c r="M168" s="277"/>
      <c r="N168" s="277"/>
      <c r="O168" s="277"/>
      <c r="P168" s="277"/>
      <c r="Q168" s="277"/>
      <c r="R168" s="277"/>
      <c r="S168" s="277"/>
      <c r="T168" s="277"/>
      <c r="U168" s="56"/>
      <c r="V168" s="56"/>
      <c r="W168" s="58"/>
      <c r="X168" s="8"/>
      <c r="Y168" s="8"/>
      <c r="AH168" s="2"/>
    </row>
    <row r="169" spans="1:34" ht="16" customHeight="1">
      <c r="A169" s="277"/>
      <c r="B169" s="277"/>
      <c r="C169" s="277"/>
      <c r="D169" s="277"/>
      <c r="E169" s="277"/>
      <c r="F169" s="277"/>
      <c r="G169" s="277"/>
      <c r="H169" s="277"/>
      <c r="I169" s="277"/>
      <c r="J169" s="56"/>
      <c r="K169" s="56"/>
      <c r="L169" s="277"/>
      <c r="M169" s="277"/>
      <c r="N169" s="277"/>
      <c r="O169" s="277"/>
      <c r="P169" s="277"/>
      <c r="Q169" s="277"/>
      <c r="R169" s="277"/>
      <c r="S169" s="277"/>
      <c r="T169" s="277"/>
      <c r="U169" s="56"/>
      <c r="V169" s="56"/>
      <c r="W169" s="58"/>
      <c r="X169" s="8"/>
      <c r="Y169" s="8"/>
      <c r="AH169" s="2"/>
    </row>
    <row r="170" spans="1:34" ht="18" customHeight="1">
      <c r="A170" s="277"/>
      <c r="B170" s="277"/>
      <c r="C170" s="277"/>
      <c r="D170" s="277"/>
      <c r="E170" s="277"/>
      <c r="F170" s="277"/>
      <c r="G170" s="277"/>
      <c r="H170" s="277"/>
      <c r="I170" s="277"/>
      <c r="J170" s="56"/>
      <c r="K170" s="56"/>
      <c r="L170" s="277"/>
      <c r="M170" s="277"/>
      <c r="N170" s="277"/>
      <c r="O170" s="277"/>
      <c r="P170" s="277"/>
      <c r="Q170" s="277"/>
      <c r="R170" s="277"/>
      <c r="S170" s="277"/>
      <c r="T170" s="277"/>
      <c r="U170" s="56"/>
      <c r="V170" s="56"/>
      <c r="W170" s="58"/>
      <c r="X170" s="8"/>
      <c r="Y170" s="8"/>
      <c r="AH170" s="2"/>
    </row>
    <row r="171" spans="1:34" ht="16" customHeight="1">
      <c r="A171" s="277"/>
      <c r="B171" s="277"/>
      <c r="C171" s="277"/>
      <c r="D171" s="277"/>
      <c r="E171" s="277"/>
      <c r="F171" s="277"/>
      <c r="G171" s="277"/>
      <c r="H171" s="277"/>
      <c r="I171" s="277"/>
      <c r="J171" s="56"/>
      <c r="K171" s="56"/>
      <c r="L171" s="277"/>
      <c r="M171" s="277"/>
      <c r="N171" s="277"/>
      <c r="O171" s="277"/>
      <c r="P171" s="277"/>
      <c r="Q171" s="277"/>
      <c r="R171" s="277"/>
      <c r="S171" s="277"/>
      <c r="T171" s="277"/>
      <c r="U171" s="56"/>
      <c r="V171" s="56"/>
      <c r="W171" s="58"/>
      <c r="X171" s="8"/>
      <c r="Y171" s="8"/>
      <c r="AH171" s="2"/>
    </row>
    <row r="172" spans="1:34" ht="16" customHeight="1">
      <c r="A172" s="277"/>
      <c r="B172" s="277"/>
      <c r="C172" s="277"/>
      <c r="D172" s="277"/>
      <c r="E172" s="277"/>
      <c r="F172" s="277"/>
      <c r="G172" s="277"/>
      <c r="H172" s="277"/>
      <c r="I172" s="277"/>
      <c r="J172" s="56"/>
      <c r="K172" s="2"/>
      <c r="L172" s="277"/>
      <c r="M172" s="277"/>
      <c r="N172" s="277"/>
      <c r="O172" s="277"/>
      <c r="P172" s="277"/>
      <c r="Q172" s="277"/>
      <c r="R172" s="277"/>
      <c r="S172" s="277"/>
      <c r="T172" s="277"/>
      <c r="U172" s="56"/>
      <c r="V172" s="2"/>
      <c r="W172" s="58"/>
      <c r="X172" s="8"/>
      <c r="Y172" s="8"/>
      <c r="AB172" s="2"/>
      <c r="AC172" s="2"/>
      <c r="AD172" s="2"/>
      <c r="AE172" s="2"/>
      <c r="AF172" s="2"/>
      <c r="AG172" s="2"/>
      <c r="AH172" s="2"/>
    </row>
    <row r="173" spans="1:34" ht="16" customHeight="1">
      <c r="A173" s="277"/>
      <c r="B173" s="277"/>
      <c r="C173" s="277"/>
      <c r="D173" s="277"/>
      <c r="E173" s="277"/>
      <c r="F173" s="277"/>
      <c r="G173" s="277"/>
      <c r="H173" s="277"/>
      <c r="I173" s="277"/>
      <c r="J173" s="56"/>
      <c r="K173" s="2"/>
      <c r="L173" s="277"/>
      <c r="M173" s="277"/>
      <c r="N173" s="277"/>
      <c r="O173" s="277"/>
      <c r="P173" s="277"/>
      <c r="Q173" s="277"/>
      <c r="R173" s="277"/>
      <c r="S173" s="277"/>
      <c r="T173" s="277"/>
      <c r="U173" s="56"/>
      <c r="V173" s="2"/>
      <c r="W173" s="58"/>
      <c r="X173" s="8"/>
      <c r="Y173" s="8"/>
      <c r="AB173" s="2"/>
      <c r="AC173" s="2"/>
      <c r="AD173" s="2"/>
      <c r="AE173" s="2"/>
      <c r="AF173" s="2"/>
      <c r="AG173" s="2"/>
      <c r="AH173" s="2"/>
    </row>
    <row r="174" spans="1:34" ht="16" customHeight="1">
      <c r="A174" s="56"/>
      <c r="B174" s="56"/>
      <c r="C174" s="56"/>
      <c r="D174" s="56"/>
      <c r="E174" s="56"/>
      <c r="F174" s="56"/>
      <c r="G174" s="56"/>
      <c r="H174" s="56"/>
      <c r="I174" s="56"/>
      <c r="J174" s="56"/>
      <c r="K174" s="2"/>
      <c r="W174" s="58"/>
      <c r="X174" s="8"/>
      <c r="Y174" s="8"/>
    </row>
    <row r="175" spans="1:34" ht="16" customHeight="1">
      <c r="A175" s="56"/>
      <c r="B175" s="56"/>
      <c r="C175" s="56"/>
      <c r="D175" s="56"/>
      <c r="E175" s="56"/>
      <c r="F175" s="56"/>
      <c r="G175" s="56"/>
      <c r="H175" s="56"/>
      <c r="I175" s="56"/>
      <c r="J175" s="56"/>
      <c r="K175" s="2"/>
      <c r="W175" s="58"/>
      <c r="X175" s="8"/>
      <c r="Y175" s="8"/>
    </row>
    <row r="176" spans="1:34" ht="16" customHeight="1">
      <c r="A176" s="56"/>
      <c r="B176" s="56"/>
      <c r="C176" s="56"/>
      <c r="D176" s="56"/>
      <c r="E176" s="56"/>
      <c r="F176" s="56"/>
      <c r="G176" s="56"/>
      <c r="H176" s="56"/>
      <c r="I176" s="56"/>
      <c r="J176" s="56"/>
      <c r="K176" s="2"/>
      <c r="W176" s="58"/>
    </row>
    <row r="177" spans="1:32" ht="16" customHeight="1">
      <c r="W177" s="58"/>
    </row>
    <row r="178" spans="1:32" ht="16" customHeight="1" thickBot="1">
      <c r="A178" s="61" t="s">
        <v>84</v>
      </c>
      <c r="B178" s="60"/>
      <c r="C178" s="60"/>
      <c r="W178" s="58"/>
    </row>
    <row r="179" spans="1:32" ht="16" customHeight="1">
      <c r="A179" s="10" t="s">
        <v>181</v>
      </c>
      <c r="B179" s="10"/>
      <c r="C179" s="10"/>
      <c r="D179" s="10"/>
      <c r="E179" s="10"/>
      <c r="F179" s="10"/>
      <c r="G179" s="10"/>
      <c r="H179" s="10"/>
      <c r="I179" s="10"/>
      <c r="J179" s="10"/>
      <c r="K179" s="10"/>
      <c r="L179" s="185"/>
      <c r="M179" s="185"/>
      <c r="N179" s="185"/>
      <c r="O179" s="185"/>
      <c r="P179" s="185"/>
      <c r="Q179" s="185"/>
      <c r="R179" s="185"/>
      <c r="S179" s="185"/>
      <c r="T179" s="185"/>
      <c r="U179" s="185"/>
      <c r="V179" s="10"/>
      <c r="W179" s="58"/>
    </row>
    <row r="180" spans="1:32" ht="16" customHeight="1">
      <c r="L180" s="56"/>
      <c r="M180" s="56"/>
      <c r="N180" s="56"/>
      <c r="O180" s="56"/>
      <c r="P180" s="56"/>
      <c r="Q180" s="56"/>
      <c r="R180" s="56"/>
      <c r="S180" s="56"/>
      <c r="T180" s="56"/>
      <c r="U180" s="56"/>
      <c r="W180" s="58"/>
    </row>
    <row r="181" spans="1:32" ht="16" customHeight="1">
      <c r="L181" s="56"/>
      <c r="M181" s="56"/>
      <c r="N181" s="56"/>
      <c r="O181" s="56"/>
      <c r="P181" s="56"/>
      <c r="Q181" s="56"/>
      <c r="R181" s="56"/>
      <c r="S181" s="56"/>
      <c r="T181" s="56"/>
      <c r="U181" s="56"/>
      <c r="W181" s="58"/>
    </row>
    <row r="182" spans="1:32" ht="16" customHeight="1">
      <c r="L182" s="56"/>
      <c r="W182" s="58"/>
    </row>
    <row r="183" spans="1:32" ht="17">
      <c r="L183" s="56"/>
      <c r="W183" s="58"/>
    </row>
    <row r="184" spans="1:32" ht="17">
      <c r="L184" s="56"/>
      <c r="W184" s="58"/>
      <c r="AB184" s="56"/>
      <c r="AC184" s="56"/>
      <c r="AD184" s="56"/>
      <c r="AE184" s="56"/>
      <c r="AF184" s="56"/>
    </row>
    <row r="185" spans="1:32" ht="17">
      <c r="L185" s="56"/>
      <c r="W185" s="58"/>
      <c r="AB185" s="56"/>
      <c r="AC185" s="56"/>
      <c r="AD185" s="56"/>
      <c r="AE185" s="56"/>
      <c r="AF185" s="56"/>
    </row>
    <row r="186" spans="1:32" ht="17">
      <c r="L186" s="56"/>
      <c r="W186" s="58"/>
      <c r="AB186" s="56"/>
      <c r="AC186" s="56"/>
      <c r="AD186" s="56"/>
      <c r="AE186" s="56"/>
      <c r="AF186" s="56"/>
    </row>
    <row r="187" spans="1:32" ht="18" thickBot="1">
      <c r="A187" s="57"/>
      <c r="B187" s="57"/>
      <c r="C187" s="57"/>
      <c r="D187" s="57"/>
      <c r="E187" s="57"/>
      <c r="F187" s="57"/>
      <c r="G187" s="57"/>
      <c r="H187" s="57"/>
      <c r="I187" s="57"/>
      <c r="J187" s="57"/>
      <c r="K187" s="57"/>
      <c r="L187" s="139"/>
      <c r="M187" s="57"/>
      <c r="N187" s="57"/>
      <c r="O187" s="57"/>
      <c r="P187" s="57"/>
      <c r="Q187" s="57"/>
      <c r="R187" s="57"/>
      <c r="S187" s="57"/>
      <c r="T187" s="57"/>
      <c r="U187" s="57"/>
      <c r="V187" s="57"/>
      <c r="W187" s="58"/>
      <c r="AB187" s="56"/>
      <c r="AC187" s="56"/>
      <c r="AD187" s="56"/>
      <c r="AE187" s="56"/>
      <c r="AF187" s="56"/>
    </row>
    <row r="188" spans="1:32" ht="15" customHeight="1">
      <c r="AB188" s="56"/>
      <c r="AC188" s="56"/>
      <c r="AD188" s="56"/>
      <c r="AE188" s="56"/>
      <c r="AF188" s="56"/>
    </row>
    <row r="189" spans="1:32" ht="17">
      <c r="L189" s="56"/>
      <c r="AB189" s="56"/>
      <c r="AC189" s="56"/>
      <c r="AD189" s="56"/>
      <c r="AE189" s="56"/>
      <c r="AF189" s="56"/>
    </row>
    <row r="190" spans="1:32" ht="17">
      <c r="L190" s="56"/>
      <c r="AB190" s="56"/>
      <c r="AC190" s="56"/>
      <c r="AD190" s="56"/>
      <c r="AE190" s="56"/>
      <c r="AF190" s="56"/>
    </row>
    <row r="191" spans="1:32" ht="17">
      <c r="L191" s="56"/>
      <c r="AB191" s="56"/>
      <c r="AC191" s="56"/>
      <c r="AD191" s="56"/>
      <c r="AE191" s="56"/>
      <c r="AF191" s="56"/>
    </row>
    <row r="192" spans="1:32" ht="17">
      <c r="L192" s="56"/>
      <c r="AB192" s="56"/>
      <c r="AC192" s="56"/>
      <c r="AD192" s="56"/>
      <c r="AE192" s="56"/>
      <c r="AF192" s="56"/>
    </row>
    <row r="193" spans="1:32" ht="17">
      <c r="L193" s="56"/>
      <c r="AB193" s="56"/>
      <c r="AC193" s="56"/>
      <c r="AD193" s="56"/>
      <c r="AE193" s="56"/>
      <c r="AF193" s="56"/>
    </row>
    <row r="194" spans="1:32" ht="17">
      <c r="L194" s="56"/>
      <c r="AB194" s="56"/>
      <c r="AC194" s="56"/>
      <c r="AD194" s="56"/>
      <c r="AE194" s="56"/>
      <c r="AF194" s="56"/>
    </row>
    <row r="195" spans="1:32" ht="15" customHeight="1">
      <c r="AB195" s="56"/>
      <c r="AC195" s="56"/>
      <c r="AD195" s="56"/>
      <c r="AE195" s="56"/>
      <c r="AF195" s="56"/>
    </row>
    <row r="196" spans="1:32" ht="15" customHeight="1">
      <c r="AB196" s="56"/>
      <c r="AC196" s="56"/>
      <c r="AD196" s="56"/>
      <c r="AE196" s="56"/>
      <c r="AF196" s="56"/>
    </row>
    <row r="197" spans="1:32" ht="16" customHeight="1">
      <c r="A197" s="2"/>
      <c r="B197" s="2"/>
      <c r="C197" s="2"/>
      <c r="D197" s="2"/>
      <c r="E197" s="2"/>
      <c r="F197" s="2"/>
      <c r="G197" s="2"/>
      <c r="H197" s="2"/>
      <c r="I197" s="2"/>
      <c r="J197" s="2"/>
      <c r="K197" s="2"/>
      <c r="AB197" s="56"/>
      <c r="AC197" s="56"/>
      <c r="AD197" s="56"/>
      <c r="AE197" s="56"/>
      <c r="AF197" s="56"/>
    </row>
    <row r="198" spans="1:32" ht="16" customHeight="1">
      <c r="A198" s="2"/>
      <c r="B198" s="2"/>
      <c r="C198" s="2"/>
      <c r="D198" s="2"/>
      <c r="E198" s="2"/>
      <c r="F198" s="2"/>
      <c r="G198" s="2"/>
      <c r="H198" s="2"/>
      <c r="I198" s="2"/>
      <c r="J198" s="2"/>
      <c r="K198" s="2"/>
      <c r="AB198" s="56"/>
      <c r="AC198" s="56"/>
      <c r="AD198" s="56"/>
      <c r="AE198" s="56"/>
      <c r="AF198" s="56"/>
    </row>
    <row r="199" spans="1:32" ht="16" customHeight="1">
      <c r="A199" s="2"/>
      <c r="B199" s="2"/>
      <c r="C199" s="2"/>
      <c r="D199" s="2"/>
      <c r="E199" s="2"/>
      <c r="F199" s="2"/>
      <c r="G199" s="2"/>
      <c r="H199" s="2"/>
      <c r="I199" s="2"/>
      <c r="J199" s="2"/>
      <c r="K199" s="2"/>
      <c r="AB199" s="56"/>
      <c r="AC199" s="56"/>
      <c r="AD199" s="56"/>
      <c r="AE199" s="56"/>
      <c r="AF199" s="56"/>
    </row>
    <row r="200" spans="1:32" ht="16" customHeight="1">
      <c r="A200" s="2"/>
      <c r="B200" s="2"/>
      <c r="C200" s="2"/>
      <c r="D200" s="2"/>
      <c r="E200" s="2"/>
      <c r="F200" s="2"/>
      <c r="G200" s="2"/>
      <c r="H200" s="2"/>
      <c r="I200" s="2"/>
      <c r="J200" s="2"/>
      <c r="K200" s="2"/>
      <c r="AB200" s="56"/>
      <c r="AC200" s="56"/>
      <c r="AD200" s="56"/>
      <c r="AE200" s="56"/>
      <c r="AF200" s="56"/>
    </row>
    <row r="201" spans="1:32" ht="16" customHeight="1">
      <c r="A201" s="2"/>
      <c r="B201" s="2"/>
      <c r="C201" s="2"/>
      <c r="D201" s="2"/>
      <c r="E201" s="2"/>
      <c r="F201" s="2"/>
      <c r="G201" s="2"/>
      <c r="H201" s="2"/>
      <c r="I201" s="2"/>
      <c r="J201" s="2"/>
      <c r="K201" s="2"/>
      <c r="AB201" s="56"/>
      <c r="AC201" s="56"/>
      <c r="AD201" s="56"/>
      <c r="AE201" s="56"/>
      <c r="AF201" s="56"/>
    </row>
    <row r="202" spans="1:32" ht="16" customHeight="1">
      <c r="A202" s="2"/>
      <c r="B202" s="2"/>
      <c r="C202" s="2"/>
      <c r="D202" s="2"/>
      <c r="E202" s="2"/>
      <c r="F202" s="2"/>
      <c r="G202" s="2"/>
      <c r="H202" s="2"/>
      <c r="I202" s="2"/>
      <c r="J202" s="2"/>
      <c r="K202" s="2"/>
      <c r="AB202" s="56"/>
      <c r="AC202" s="56"/>
      <c r="AD202" s="56"/>
      <c r="AE202" s="56"/>
      <c r="AF202" s="56"/>
    </row>
    <row r="203" spans="1:32" ht="16" customHeight="1">
      <c r="A203" s="2"/>
      <c r="B203" s="2"/>
      <c r="C203" s="2"/>
      <c r="D203" s="2"/>
      <c r="E203" s="2"/>
      <c r="F203" s="2"/>
      <c r="G203" s="2"/>
      <c r="H203" s="2"/>
      <c r="I203" s="2"/>
      <c r="J203" s="2"/>
      <c r="K203" s="2"/>
      <c r="AB203" s="56"/>
      <c r="AC203" s="56"/>
      <c r="AD203" s="56"/>
      <c r="AE203" s="56"/>
      <c r="AF203" s="56"/>
    </row>
    <row r="204" spans="1:32" ht="16" customHeight="1">
      <c r="A204" s="2"/>
      <c r="B204" s="2"/>
      <c r="C204" s="2"/>
      <c r="D204" s="2"/>
      <c r="E204" s="2"/>
      <c r="F204" s="2"/>
      <c r="G204" s="2"/>
      <c r="H204" s="2"/>
      <c r="I204" s="2"/>
      <c r="J204" s="2"/>
      <c r="K204" s="2"/>
      <c r="AB204" s="56"/>
      <c r="AC204" s="56"/>
      <c r="AD204" s="56"/>
      <c r="AE204" s="56"/>
      <c r="AF204" s="56"/>
    </row>
    <row r="205" spans="1:32" ht="16">
      <c r="A205" s="2"/>
      <c r="B205" s="2"/>
      <c r="C205" s="2"/>
      <c r="D205" s="2"/>
      <c r="E205" s="2"/>
      <c r="F205" s="2"/>
      <c r="G205" s="2"/>
      <c r="H205" s="2"/>
      <c r="I205" s="2"/>
      <c r="J205" s="2"/>
      <c r="K205" s="2"/>
    </row>
    <row r="206" spans="1:32" ht="16">
      <c r="A206" s="2"/>
      <c r="B206" s="2"/>
      <c r="C206" s="2"/>
      <c r="D206" s="2"/>
      <c r="E206" s="2"/>
      <c r="F206" s="2"/>
      <c r="G206" s="2"/>
      <c r="H206" s="2"/>
      <c r="I206" s="2"/>
      <c r="J206" s="2"/>
      <c r="K206" s="2"/>
    </row>
    <row r="207" spans="1:32" ht="16">
      <c r="A207" s="2"/>
      <c r="B207" s="2"/>
      <c r="C207" s="2"/>
      <c r="D207" s="2"/>
      <c r="E207" s="2"/>
      <c r="F207" s="2"/>
      <c r="G207" s="2"/>
      <c r="H207" s="2"/>
      <c r="I207" s="2"/>
      <c r="J207" s="2"/>
      <c r="K207" s="2"/>
    </row>
    <row r="208" spans="1:32" ht="16">
      <c r="A208" s="2"/>
      <c r="B208" s="2"/>
      <c r="C208" s="2"/>
      <c r="D208" s="2"/>
      <c r="E208" s="2"/>
      <c r="F208" s="2"/>
      <c r="G208" s="2"/>
      <c r="H208" s="2"/>
      <c r="I208" s="2"/>
      <c r="J208" s="2"/>
      <c r="K208" s="2"/>
    </row>
    <row r="209" spans="1:11" ht="16">
      <c r="A209" s="2"/>
      <c r="B209" s="2"/>
      <c r="C209" s="2"/>
      <c r="D209" s="2"/>
      <c r="E209" s="2"/>
      <c r="F209" s="2"/>
      <c r="G209" s="2"/>
      <c r="H209" s="2"/>
      <c r="I209" s="2"/>
      <c r="J209" s="2"/>
      <c r="K209" s="2"/>
    </row>
    <row r="210" spans="1:11" ht="16">
      <c r="A210" s="2"/>
      <c r="B210" s="2"/>
      <c r="C210" s="2"/>
      <c r="D210" s="2"/>
      <c r="E210" s="2"/>
      <c r="F210" s="2"/>
      <c r="G210" s="2"/>
      <c r="H210" s="2"/>
      <c r="I210" s="2"/>
      <c r="J210" s="2"/>
      <c r="K210" s="2"/>
    </row>
    <row r="211" spans="1:11" ht="16">
      <c r="A211" s="2"/>
      <c r="B211" s="2"/>
      <c r="C211" s="2"/>
      <c r="D211" s="2"/>
      <c r="E211" s="2"/>
      <c r="F211" s="2"/>
      <c r="G211" s="2"/>
      <c r="H211" s="2"/>
      <c r="I211" s="2"/>
      <c r="J211" s="2"/>
      <c r="K211" s="2"/>
    </row>
    <row r="212" spans="1:11" ht="16">
      <c r="A212" s="2"/>
      <c r="B212" s="2"/>
      <c r="C212" s="2"/>
      <c r="D212" s="2"/>
      <c r="E212" s="2"/>
      <c r="F212" s="2"/>
      <c r="G212" s="2"/>
      <c r="H212" s="2"/>
      <c r="I212" s="2"/>
      <c r="J212" s="2"/>
      <c r="K212" s="2"/>
    </row>
    <row r="213" spans="1:11" ht="16">
      <c r="A213" s="2"/>
      <c r="B213" s="2"/>
      <c r="C213" s="2"/>
      <c r="D213" s="2"/>
      <c r="E213" s="2"/>
      <c r="F213" s="2"/>
      <c r="G213" s="2"/>
      <c r="H213" s="2"/>
      <c r="I213" s="2"/>
      <c r="J213" s="2"/>
      <c r="K213" s="2"/>
    </row>
    <row r="214" spans="1:11" ht="16">
      <c r="A214" s="2"/>
      <c r="B214" s="2"/>
      <c r="C214" s="2"/>
      <c r="D214" s="2"/>
      <c r="E214" s="2"/>
      <c r="F214" s="2"/>
      <c r="G214" s="2"/>
      <c r="H214" s="2"/>
      <c r="I214" s="2"/>
      <c r="J214" s="2"/>
      <c r="K214" s="2"/>
    </row>
    <row r="215" spans="1:11" ht="16">
      <c r="A215" s="2"/>
      <c r="B215" s="2"/>
      <c r="C215" s="2"/>
      <c r="D215" s="2"/>
      <c r="E215" s="2"/>
      <c r="F215" s="2"/>
      <c r="G215" s="2"/>
      <c r="H215" s="2"/>
      <c r="I215" s="2"/>
      <c r="J215" s="2"/>
      <c r="K215" s="2"/>
    </row>
    <row r="216" spans="1:11" ht="16">
      <c r="A216" s="2"/>
      <c r="B216" s="2"/>
      <c r="C216" s="2"/>
      <c r="D216" s="2"/>
      <c r="E216" s="2"/>
      <c r="F216" s="2"/>
      <c r="G216" s="2"/>
      <c r="H216" s="2"/>
      <c r="I216" s="2"/>
      <c r="J216" s="2"/>
      <c r="K216" s="2"/>
    </row>
    <row r="217" spans="1:11" ht="16">
      <c r="A217" s="2"/>
      <c r="B217" s="2"/>
      <c r="C217" s="2"/>
      <c r="D217" s="2"/>
      <c r="E217" s="2"/>
      <c r="F217" s="2"/>
      <c r="G217" s="2"/>
      <c r="H217" s="2"/>
      <c r="I217" s="2"/>
      <c r="J217" s="2"/>
      <c r="K217" s="2"/>
    </row>
    <row r="218" spans="1:11" ht="16">
      <c r="A218" s="2"/>
      <c r="B218" s="2"/>
      <c r="C218" s="2"/>
      <c r="D218" s="2"/>
      <c r="E218" s="2"/>
      <c r="F218" s="2"/>
      <c r="G218" s="2"/>
      <c r="H218" s="2"/>
      <c r="I218" s="2"/>
      <c r="J218" s="2"/>
      <c r="K218" s="2"/>
    </row>
    <row r="219" spans="1:11" ht="16">
      <c r="A219" s="2"/>
      <c r="B219" s="2"/>
      <c r="C219" s="2"/>
      <c r="D219" s="2"/>
      <c r="E219" s="2"/>
      <c r="F219" s="2"/>
      <c r="G219" s="2"/>
      <c r="H219" s="2"/>
      <c r="I219" s="2"/>
      <c r="J219" s="2"/>
      <c r="K219" s="2"/>
    </row>
    <row r="220" spans="1:11" ht="16">
      <c r="A220" s="2"/>
      <c r="B220" s="2"/>
      <c r="C220" s="2"/>
      <c r="D220" s="2"/>
      <c r="E220" s="2"/>
      <c r="F220" s="2"/>
      <c r="G220" s="2"/>
      <c r="H220" s="2"/>
      <c r="I220" s="2"/>
      <c r="J220" s="2"/>
      <c r="K220" s="2"/>
    </row>
    <row r="221" spans="1:11" ht="16">
      <c r="A221" s="2"/>
      <c r="B221" s="2"/>
      <c r="C221" s="2"/>
      <c r="D221" s="2"/>
      <c r="E221" s="2"/>
      <c r="F221" s="2"/>
      <c r="G221" s="2"/>
      <c r="H221" s="2"/>
      <c r="I221" s="2"/>
      <c r="J221" s="2"/>
      <c r="K221" s="2"/>
    </row>
    <row r="222" spans="1:11" ht="16">
      <c r="A222" s="2"/>
      <c r="B222" s="2"/>
      <c r="C222" s="2"/>
      <c r="D222" s="2"/>
      <c r="E222" s="2"/>
      <c r="F222" s="2"/>
      <c r="G222" s="2"/>
      <c r="H222" s="2"/>
      <c r="I222" s="2"/>
      <c r="J222" s="2"/>
      <c r="K222" s="2"/>
    </row>
    <row r="223" spans="1:11" ht="16">
      <c r="A223" s="2"/>
      <c r="B223" s="2"/>
      <c r="C223" s="2"/>
      <c r="D223" s="2"/>
      <c r="E223" s="2"/>
      <c r="F223" s="2"/>
      <c r="G223" s="2"/>
      <c r="H223" s="2"/>
      <c r="I223" s="2"/>
      <c r="J223" s="2"/>
      <c r="K223" s="2"/>
    </row>
    <row r="224" spans="1:11" ht="16">
      <c r="A224" s="2"/>
      <c r="B224" s="2"/>
      <c r="C224" s="2"/>
      <c r="D224" s="2"/>
      <c r="E224" s="2"/>
      <c r="F224" s="2"/>
      <c r="G224" s="2"/>
      <c r="H224" s="2"/>
      <c r="I224" s="2"/>
      <c r="J224" s="2"/>
      <c r="K224" s="2"/>
    </row>
    <row r="225" spans="1:11" ht="16">
      <c r="A225" s="2"/>
      <c r="B225" s="2"/>
      <c r="C225" s="2"/>
      <c r="D225" s="2"/>
      <c r="E225" s="2"/>
      <c r="F225" s="2"/>
      <c r="G225" s="2"/>
      <c r="H225" s="2"/>
      <c r="I225" s="2"/>
      <c r="J225" s="2"/>
      <c r="K225" s="2"/>
    </row>
    <row r="226" spans="1:11" ht="16">
      <c r="A226" s="2"/>
      <c r="B226" s="2"/>
      <c r="C226" s="2"/>
      <c r="D226" s="2"/>
      <c r="E226" s="2"/>
      <c r="F226" s="2"/>
      <c r="G226" s="2"/>
      <c r="H226" s="2"/>
      <c r="I226" s="2"/>
      <c r="J226" s="2"/>
      <c r="K226" s="2"/>
    </row>
    <row r="227" spans="1:11" ht="16">
      <c r="A227" s="2"/>
      <c r="B227" s="2"/>
      <c r="C227" s="2"/>
      <c r="D227" s="2"/>
      <c r="E227" s="2"/>
      <c r="F227" s="2"/>
      <c r="G227" s="2"/>
      <c r="H227" s="2"/>
      <c r="I227" s="2"/>
      <c r="J227" s="2"/>
      <c r="K227" s="2"/>
    </row>
    <row r="228" spans="1:11" ht="16">
      <c r="A228" s="2"/>
      <c r="B228" s="2"/>
      <c r="C228" s="2"/>
      <c r="D228" s="2"/>
      <c r="E228" s="2"/>
      <c r="F228" s="2"/>
      <c r="G228" s="2"/>
      <c r="H228" s="2"/>
      <c r="I228" s="2"/>
      <c r="J228" s="2"/>
      <c r="K228" s="2"/>
    </row>
  </sheetData>
  <mergeCells count="58">
    <mergeCell ref="A161:I173"/>
    <mergeCell ref="L161:T173"/>
    <mergeCell ref="A137:V144"/>
    <mergeCell ref="T51:V51"/>
    <mergeCell ref="A104:B104"/>
    <mergeCell ref="A105:B105"/>
    <mergeCell ref="K57:U63"/>
    <mergeCell ref="K103:U111"/>
    <mergeCell ref="A65:E65"/>
    <mergeCell ref="A77:E77"/>
    <mergeCell ref="A56:B56"/>
    <mergeCell ref="A158:B158"/>
    <mergeCell ref="L152:M152"/>
    <mergeCell ref="A157:B157"/>
    <mergeCell ref="A113:E113"/>
    <mergeCell ref="A153:B153"/>
    <mergeCell ref="E2:R2"/>
    <mergeCell ref="E3:R3"/>
    <mergeCell ref="A8:V9"/>
    <mergeCell ref="A11:G11"/>
    <mergeCell ref="L147:V151"/>
    <mergeCell ref="A147:I150"/>
    <mergeCell ref="A15:H26"/>
    <mergeCell ref="A47:L47"/>
    <mergeCell ref="T52:V52"/>
    <mergeCell ref="A97:L97"/>
    <mergeCell ref="AG32:AG33"/>
    <mergeCell ref="AC34:AC35"/>
    <mergeCell ref="AF34:AF35"/>
    <mergeCell ref="A52:I52"/>
    <mergeCell ref="A155:B155"/>
    <mergeCell ref="A146:I146"/>
    <mergeCell ref="L146:T146"/>
    <mergeCell ref="AF32:AF33"/>
    <mergeCell ref="A99:I99"/>
    <mergeCell ref="L99:T99"/>
    <mergeCell ref="A152:B152"/>
    <mergeCell ref="AC32:AC33"/>
    <mergeCell ref="AD32:AD33"/>
    <mergeCell ref="A31:H44"/>
    <mergeCell ref="AC30:AC31"/>
    <mergeCell ref="J45:U45"/>
    <mergeCell ref="A159:B159"/>
    <mergeCell ref="A154:B154"/>
    <mergeCell ref="L153:M153"/>
    <mergeCell ref="L154:M154"/>
    <mergeCell ref="L155:M155"/>
    <mergeCell ref="L159:M159"/>
    <mergeCell ref="L157:M157"/>
    <mergeCell ref="L156:M156"/>
    <mergeCell ref="L158:M158"/>
    <mergeCell ref="A156:B156"/>
    <mergeCell ref="AC24:AC25"/>
    <mergeCell ref="AF24:AF25"/>
    <mergeCell ref="A12:V13"/>
    <mergeCell ref="AC26:AC29"/>
    <mergeCell ref="A29:H29"/>
    <mergeCell ref="J27:U27"/>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57B66-CCF8-E84A-B57D-6A6B4BE75F4B}">
  <sheetPr codeName="Foglio3"/>
  <dimension ref="A1:W91"/>
  <sheetViews>
    <sheetView showGridLines="0" zoomScale="83" workbookViewId="0">
      <selection activeCell="B45" sqref="B45:U46"/>
    </sheetView>
  </sheetViews>
  <sheetFormatPr baseColWidth="10" defaultColWidth="10.6640625" defaultRowHeight="16"/>
  <sheetData>
    <row r="1" spans="1:23">
      <c r="A1" s="26" t="s">
        <v>79</v>
      </c>
      <c r="B1" s="55"/>
      <c r="C1" s="55"/>
      <c r="D1" s="55"/>
      <c r="E1" s="55"/>
      <c r="F1" s="55"/>
      <c r="G1" s="55"/>
      <c r="H1" s="55"/>
      <c r="I1" s="55"/>
      <c r="J1" s="55"/>
      <c r="K1" s="55"/>
      <c r="L1" s="55"/>
      <c r="M1" s="55"/>
      <c r="N1" s="55"/>
      <c r="O1" s="55"/>
      <c r="P1" s="55"/>
      <c r="Q1" s="55"/>
      <c r="R1" s="55"/>
      <c r="S1" s="55"/>
      <c r="T1" s="55"/>
      <c r="U1" s="55"/>
      <c r="V1" s="55"/>
    </row>
    <row r="2" spans="1:23" ht="24" thickBot="1">
      <c r="A2" s="26"/>
      <c r="B2" s="55"/>
      <c r="C2" s="55"/>
      <c r="D2" s="55"/>
      <c r="E2" s="297" t="s">
        <v>65</v>
      </c>
      <c r="F2" s="297"/>
      <c r="G2" s="297"/>
      <c r="H2" s="297"/>
      <c r="I2" s="297"/>
      <c r="J2" s="297"/>
      <c r="K2" s="297"/>
      <c r="L2" s="297"/>
      <c r="M2" s="297"/>
      <c r="N2" s="297"/>
      <c r="O2" s="297"/>
      <c r="P2" s="297"/>
      <c r="Q2" s="297"/>
      <c r="R2" s="297"/>
      <c r="S2" s="55"/>
      <c r="T2" s="55"/>
      <c r="U2" s="55"/>
      <c r="V2" s="55"/>
    </row>
    <row r="3" spans="1:23" ht="19">
      <c r="A3" s="26"/>
      <c r="B3" s="55"/>
      <c r="C3" s="55"/>
      <c r="D3" s="55"/>
      <c r="E3" s="279" t="s">
        <v>81</v>
      </c>
      <c r="F3" s="279"/>
      <c r="G3" s="279"/>
      <c r="H3" s="279"/>
      <c r="I3" s="279"/>
      <c r="J3" s="279"/>
      <c r="K3" s="279"/>
      <c r="L3" s="279"/>
      <c r="M3" s="279"/>
      <c r="N3" s="279"/>
      <c r="O3" s="279"/>
      <c r="P3" s="279"/>
      <c r="Q3" s="279"/>
      <c r="R3" s="279"/>
      <c r="S3" s="55"/>
      <c r="T3" s="55"/>
      <c r="U3" s="55"/>
      <c r="V3" s="55"/>
    </row>
    <row r="4" spans="1:23">
      <c r="A4" s="26"/>
      <c r="B4" s="55"/>
      <c r="C4" s="55"/>
      <c r="D4" s="55"/>
      <c r="E4" s="55"/>
      <c r="F4" s="55"/>
      <c r="G4" s="55"/>
      <c r="H4" s="55"/>
      <c r="I4" s="55"/>
      <c r="J4" s="55"/>
      <c r="K4" s="55"/>
      <c r="L4" s="55"/>
      <c r="M4" s="55"/>
      <c r="N4" s="55"/>
      <c r="O4" s="55"/>
      <c r="P4" s="55"/>
      <c r="Q4" s="55"/>
      <c r="R4" s="55"/>
      <c r="S4" s="55"/>
      <c r="T4" s="55"/>
      <c r="U4" s="55"/>
      <c r="V4" s="55"/>
    </row>
    <row r="6" spans="1:23" ht="30" customHeight="1" thickBot="1">
      <c r="A6" s="147" t="s">
        <v>130</v>
      </c>
      <c r="B6" s="44"/>
      <c r="C6" s="44"/>
      <c r="D6" s="44"/>
      <c r="E6" s="44"/>
      <c r="F6" s="44"/>
      <c r="G6" s="44"/>
      <c r="H6" s="44"/>
      <c r="I6" s="44"/>
      <c r="J6" s="44"/>
      <c r="K6" s="44"/>
      <c r="L6" s="44"/>
      <c r="M6" s="44"/>
      <c r="N6" s="44"/>
      <c r="O6" s="44"/>
      <c r="P6" s="44"/>
      <c r="Q6" s="44"/>
      <c r="R6" s="44"/>
      <c r="S6" s="44"/>
      <c r="T6" s="44"/>
      <c r="U6" s="44"/>
      <c r="V6" s="44"/>
      <c r="W6" s="154"/>
    </row>
    <row r="7" spans="1:23">
      <c r="W7" s="154"/>
    </row>
    <row r="8" spans="1:23" ht="16" customHeight="1">
      <c r="A8" s="285" t="s">
        <v>183</v>
      </c>
      <c r="B8" s="285"/>
      <c r="C8" s="285"/>
      <c r="D8" s="285"/>
      <c r="E8" s="285"/>
      <c r="F8" s="285"/>
      <c r="G8" s="285"/>
      <c r="H8" s="285"/>
      <c r="I8" s="285"/>
      <c r="J8" s="285"/>
      <c r="K8" s="285"/>
      <c r="L8" s="285"/>
      <c r="M8" s="285"/>
      <c r="N8" s="285"/>
      <c r="O8" s="285"/>
      <c r="P8" s="285"/>
      <c r="Q8" s="285"/>
      <c r="R8" s="285"/>
      <c r="S8" s="285"/>
      <c r="T8" s="285"/>
      <c r="U8" s="285"/>
      <c r="V8" s="285"/>
      <c r="W8" s="154"/>
    </row>
    <row r="9" spans="1:23" ht="16" customHeight="1">
      <c r="A9" s="285"/>
      <c r="B9" s="285"/>
      <c r="C9" s="285"/>
      <c r="D9" s="285"/>
      <c r="E9" s="285"/>
      <c r="F9" s="285"/>
      <c r="G9" s="285"/>
      <c r="H9" s="285"/>
      <c r="I9" s="285"/>
      <c r="J9" s="285"/>
      <c r="K9" s="285"/>
      <c r="L9" s="285"/>
      <c r="M9" s="285"/>
      <c r="N9" s="285"/>
      <c r="O9" s="285"/>
      <c r="P9" s="285"/>
      <c r="Q9" s="285"/>
      <c r="R9" s="285"/>
      <c r="S9" s="285"/>
      <c r="T9" s="285"/>
      <c r="U9" s="285"/>
      <c r="V9" s="285"/>
      <c r="W9" s="154"/>
    </row>
    <row r="10" spans="1:23" ht="16" customHeight="1">
      <c r="A10" s="285"/>
      <c r="B10" s="285"/>
      <c r="C10" s="285"/>
      <c r="D10" s="285"/>
      <c r="E10" s="285"/>
      <c r="F10" s="285"/>
      <c r="G10" s="285"/>
      <c r="H10" s="285"/>
      <c r="I10" s="285"/>
      <c r="J10" s="285"/>
      <c r="K10" s="285"/>
      <c r="L10" s="285"/>
      <c r="M10" s="285"/>
      <c r="N10" s="285"/>
      <c r="O10" s="285"/>
      <c r="P10" s="285"/>
      <c r="Q10" s="285"/>
      <c r="R10" s="285"/>
      <c r="S10" s="285"/>
      <c r="T10" s="285"/>
      <c r="U10" s="285"/>
      <c r="V10" s="285"/>
      <c r="W10" s="154"/>
    </row>
    <row r="11" spans="1:23" ht="16" customHeight="1">
      <c r="A11" s="285"/>
      <c r="B11" s="285"/>
      <c r="C11" s="285"/>
      <c r="D11" s="285"/>
      <c r="E11" s="285"/>
      <c r="F11" s="285"/>
      <c r="G11" s="285"/>
      <c r="H11" s="285"/>
      <c r="I11" s="285"/>
      <c r="J11" s="285"/>
      <c r="K11" s="285"/>
      <c r="L11" s="285"/>
      <c r="M11" s="285"/>
      <c r="N11" s="285"/>
      <c r="O11" s="285"/>
      <c r="P11" s="285"/>
      <c r="Q11" s="285"/>
      <c r="R11" s="285"/>
      <c r="S11" s="285"/>
      <c r="T11" s="285"/>
      <c r="U11" s="285"/>
      <c r="V11" s="285"/>
      <c r="W11" s="154"/>
    </row>
    <row r="12" spans="1:23" ht="13" customHeight="1">
      <c r="A12" s="151"/>
      <c r="B12" s="151"/>
      <c r="C12" s="151"/>
      <c r="D12" s="151"/>
      <c r="E12" s="151"/>
      <c r="F12" s="151"/>
      <c r="G12" s="151"/>
      <c r="H12" s="151"/>
      <c r="I12" s="151"/>
      <c r="J12" s="151"/>
      <c r="K12" s="151"/>
      <c r="L12" s="151"/>
      <c r="M12" s="151"/>
      <c r="N12" s="151"/>
      <c r="O12" s="151"/>
      <c r="P12" s="151"/>
      <c r="Q12" s="151"/>
      <c r="R12" s="151"/>
      <c r="S12" s="151"/>
      <c r="T12" s="151"/>
      <c r="U12" s="151"/>
      <c r="V12" s="151"/>
      <c r="W12" s="154"/>
    </row>
    <row r="13" spans="1:23" ht="32" customHeight="1" thickBot="1">
      <c r="A13" s="300" t="s">
        <v>133</v>
      </c>
      <c r="B13" s="300"/>
      <c r="C13" s="300"/>
      <c r="D13" s="300"/>
      <c r="E13" s="300"/>
      <c r="F13" s="300"/>
      <c r="G13" s="300"/>
      <c r="H13" s="300"/>
      <c r="I13" s="300"/>
      <c r="J13" s="300"/>
      <c r="K13" s="152"/>
      <c r="L13" s="300" t="s">
        <v>132</v>
      </c>
      <c r="M13" s="300"/>
      <c r="N13" s="300"/>
      <c r="O13" s="300"/>
      <c r="P13" s="300"/>
      <c r="Q13" s="300"/>
      <c r="R13" s="300"/>
      <c r="S13" s="300"/>
      <c r="T13" s="300"/>
      <c r="U13" s="300"/>
      <c r="V13" s="152"/>
      <c r="W13" s="154"/>
    </row>
    <row r="14" spans="1:23" ht="16" customHeight="1">
      <c r="A14" s="152"/>
      <c r="B14" s="152"/>
      <c r="C14" s="152"/>
      <c r="D14" s="152"/>
      <c r="E14" s="152"/>
      <c r="F14" s="152"/>
      <c r="G14" s="152"/>
      <c r="H14" s="152"/>
      <c r="I14" s="152"/>
      <c r="J14" s="152"/>
      <c r="K14" s="152"/>
      <c r="L14" s="152"/>
      <c r="M14" s="152"/>
      <c r="N14" s="152"/>
      <c r="O14" s="152"/>
      <c r="P14" s="152"/>
      <c r="Q14" s="152"/>
      <c r="R14" s="152"/>
      <c r="S14" s="152"/>
      <c r="T14" s="152"/>
      <c r="U14" s="152"/>
      <c r="V14" s="152"/>
      <c r="W14" s="154"/>
    </row>
    <row r="15" spans="1:23" ht="16" customHeight="1">
      <c r="A15" s="285" t="s">
        <v>184</v>
      </c>
      <c r="B15" s="285"/>
      <c r="C15" s="285"/>
      <c r="D15" s="285"/>
      <c r="E15" s="285"/>
      <c r="F15" s="285"/>
      <c r="G15" s="285"/>
      <c r="H15" s="285"/>
      <c r="I15" s="285"/>
      <c r="J15" s="285"/>
      <c r="K15" s="152"/>
      <c r="L15" s="285" t="s">
        <v>185</v>
      </c>
      <c r="M15" s="298"/>
      <c r="N15" s="298"/>
      <c r="O15" s="298"/>
      <c r="P15" s="298"/>
      <c r="Q15" s="298"/>
      <c r="R15" s="298"/>
      <c r="S15" s="298"/>
      <c r="T15" s="298"/>
      <c r="U15" s="298"/>
      <c r="V15" s="152"/>
      <c r="W15" s="154"/>
    </row>
    <row r="16" spans="1:23" ht="16" customHeight="1">
      <c r="A16" s="285"/>
      <c r="B16" s="285"/>
      <c r="C16" s="285"/>
      <c r="D16" s="285"/>
      <c r="E16" s="285"/>
      <c r="F16" s="285"/>
      <c r="G16" s="285"/>
      <c r="H16" s="285"/>
      <c r="I16" s="285"/>
      <c r="J16" s="285"/>
      <c r="K16" s="152"/>
      <c r="L16" s="298"/>
      <c r="M16" s="298"/>
      <c r="N16" s="298"/>
      <c r="O16" s="298"/>
      <c r="P16" s="298"/>
      <c r="Q16" s="298"/>
      <c r="R16" s="298"/>
      <c r="S16" s="298"/>
      <c r="T16" s="298"/>
      <c r="U16" s="298"/>
      <c r="V16" s="152"/>
      <c r="W16" s="154"/>
    </row>
    <row r="17" spans="1:23" ht="16" customHeight="1">
      <c r="A17" s="285"/>
      <c r="B17" s="285"/>
      <c r="C17" s="285"/>
      <c r="D17" s="285"/>
      <c r="E17" s="285"/>
      <c r="F17" s="285"/>
      <c r="G17" s="285"/>
      <c r="H17" s="285"/>
      <c r="I17" s="285"/>
      <c r="J17" s="285"/>
      <c r="K17" s="152"/>
      <c r="L17" s="298"/>
      <c r="M17" s="298"/>
      <c r="N17" s="298"/>
      <c r="O17" s="298"/>
      <c r="P17" s="298"/>
      <c r="Q17" s="298"/>
      <c r="R17" s="298"/>
      <c r="S17" s="298"/>
      <c r="T17" s="298"/>
      <c r="U17" s="298"/>
      <c r="V17" s="152"/>
      <c r="W17" s="154"/>
    </row>
    <row r="18" spans="1:23" ht="16" customHeight="1">
      <c r="A18" s="285"/>
      <c r="B18" s="285"/>
      <c r="C18" s="285"/>
      <c r="D18" s="285"/>
      <c r="E18" s="285"/>
      <c r="F18" s="285"/>
      <c r="G18" s="285"/>
      <c r="H18" s="285"/>
      <c r="I18" s="285"/>
      <c r="J18" s="285"/>
      <c r="K18" s="152"/>
      <c r="L18" s="298"/>
      <c r="M18" s="298"/>
      <c r="N18" s="298"/>
      <c r="O18" s="298"/>
      <c r="P18" s="298"/>
      <c r="Q18" s="298"/>
      <c r="R18" s="298"/>
      <c r="S18" s="298"/>
      <c r="T18" s="298"/>
      <c r="U18" s="298"/>
      <c r="V18" s="152"/>
      <c r="W18" s="154"/>
    </row>
    <row r="19" spans="1:23" ht="16" customHeight="1">
      <c r="A19" s="285"/>
      <c r="B19" s="285"/>
      <c r="C19" s="285"/>
      <c r="D19" s="285"/>
      <c r="E19" s="285"/>
      <c r="F19" s="285"/>
      <c r="G19" s="285"/>
      <c r="H19" s="285"/>
      <c r="I19" s="285"/>
      <c r="J19" s="285"/>
      <c r="K19" s="152"/>
      <c r="L19" s="298"/>
      <c r="M19" s="298"/>
      <c r="N19" s="298"/>
      <c r="O19" s="298"/>
      <c r="P19" s="298"/>
      <c r="Q19" s="298"/>
      <c r="R19" s="298"/>
      <c r="S19" s="298"/>
      <c r="T19" s="298"/>
      <c r="U19" s="298"/>
      <c r="V19" s="152"/>
      <c r="W19" s="154"/>
    </row>
    <row r="20" spans="1:23" ht="16" customHeight="1">
      <c r="A20" s="285"/>
      <c r="B20" s="285"/>
      <c r="C20" s="285"/>
      <c r="D20" s="285"/>
      <c r="E20" s="285"/>
      <c r="F20" s="285"/>
      <c r="G20" s="285"/>
      <c r="H20" s="285"/>
      <c r="I20" s="285"/>
      <c r="J20" s="285"/>
      <c r="K20" s="152"/>
      <c r="L20" s="298"/>
      <c r="M20" s="298"/>
      <c r="N20" s="298"/>
      <c r="O20" s="298"/>
      <c r="P20" s="298"/>
      <c r="Q20" s="298"/>
      <c r="R20" s="298"/>
      <c r="S20" s="298"/>
      <c r="T20" s="298"/>
      <c r="U20" s="298"/>
      <c r="V20" s="152"/>
      <c r="W20" s="154"/>
    </row>
    <row r="21" spans="1:23" ht="16" customHeight="1">
      <c r="A21" s="285"/>
      <c r="B21" s="285"/>
      <c r="C21" s="285"/>
      <c r="D21" s="285"/>
      <c r="E21" s="285"/>
      <c r="F21" s="285"/>
      <c r="G21" s="285"/>
      <c r="H21" s="285"/>
      <c r="I21" s="285"/>
      <c r="J21" s="285"/>
      <c r="K21" s="152"/>
      <c r="L21" s="298"/>
      <c r="M21" s="298"/>
      <c r="N21" s="298"/>
      <c r="O21" s="298"/>
      <c r="P21" s="298"/>
      <c r="Q21" s="298"/>
      <c r="R21" s="298"/>
      <c r="S21" s="298"/>
      <c r="T21" s="298"/>
      <c r="U21" s="298"/>
      <c r="V21" s="152"/>
      <c r="W21" s="154"/>
    </row>
    <row r="22" spans="1:23" ht="16" customHeight="1">
      <c r="A22" s="151"/>
      <c r="B22" s="152"/>
      <c r="C22" s="152"/>
      <c r="D22" s="152"/>
      <c r="E22" s="152"/>
      <c r="F22" s="152"/>
      <c r="G22" s="152"/>
      <c r="H22" s="152"/>
      <c r="I22" s="152"/>
      <c r="J22" s="152"/>
      <c r="K22" s="152"/>
      <c r="L22" s="152"/>
      <c r="M22" s="152"/>
      <c r="N22" s="152"/>
      <c r="O22" s="152"/>
      <c r="P22" s="152"/>
      <c r="Q22" s="152"/>
      <c r="R22" s="152"/>
      <c r="S22" s="152"/>
      <c r="T22" s="152"/>
      <c r="U22" s="152"/>
      <c r="V22" s="152"/>
      <c r="W22" s="154"/>
    </row>
    <row r="23" spans="1:23" ht="16" customHeight="1">
      <c r="A23" s="299"/>
      <c r="B23" s="299"/>
      <c r="C23" s="299"/>
      <c r="D23" s="299"/>
      <c r="E23" s="299"/>
      <c r="F23" s="299"/>
      <c r="G23" s="299"/>
      <c r="H23" s="299"/>
      <c r="I23" s="299"/>
      <c r="J23" s="299"/>
      <c r="K23" s="152"/>
      <c r="L23" s="153"/>
      <c r="M23" s="153"/>
      <c r="N23" s="153"/>
      <c r="O23" s="153"/>
      <c r="P23" s="153"/>
      <c r="Q23" s="153"/>
      <c r="R23" s="153"/>
      <c r="S23" s="153"/>
      <c r="T23" s="153"/>
      <c r="U23" s="153"/>
      <c r="V23" s="152"/>
      <c r="W23" s="154"/>
    </row>
    <row r="24" spans="1:23" ht="16" customHeight="1">
      <c r="A24" s="299"/>
      <c r="B24" s="299"/>
      <c r="C24" s="299"/>
      <c r="D24" s="299"/>
      <c r="E24" s="299"/>
      <c r="F24" s="299"/>
      <c r="G24" s="299"/>
      <c r="H24" s="299"/>
      <c r="I24" s="299"/>
      <c r="J24" s="299"/>
      <c r="K24" s="152"/>
      <c r="L24" s="153"/>
      <c r="M24" s="153"/>
      <c r="N24" s="153"/>
      <c r="O24" s="153"/>
      <c r="P24" s="153"/>
      <c r="Q24" s="153"/>
      <c r="R24" s="153"/>
      <c r="S24" s="153"/>
      <c r="T24" s="153"/>
      <c r="U24" s="153"/>
      <c r="V24" s="152"/>
      <c r="W24" s="154"/>
    </row>
    <row r="25" spans="1:23" ht="16" customHeight="1">
      <c r="A25" s="299"/>
      <c r="B25" s="299"/>
      <c r="C25" s="299"/>
      <c r="D25" s="299"/>
      <c r="E25" s="299"/>
      <c r="F25" s="299"/>
      <c r="G25" s="299"/>
      <c r="H25" s="299"/>
      <c r="I25" s="299"/>
      <c r="J25" s="299"/>
      <c r="K25" s="152"/>
      <c r="L25" s="153"/>
      <c r="M25" s="153"/>
      <c r="N25" s="153"/>
      <c r="O25" s="153"/>
      <c r="P25" s="153"/>
      <c r="Q25" s="153"/>
      <c r="R25" s="153"/>
      <c r="S25" s="153"/>
      <c r="T25" s="153"/>
      <c r="U25" s="153"/>
      <c r="V25" s="152"/>
      <c r="W25" s="154"/>
    </row>
    <row r="26" spans="1:23" ht="16" customHeight="1">
      <c r="A26" s="299"/>
      <c r="B26" s="299"/>
      <c r="C26" s="299"/>
      <c r="D26" s="299"/>
      <c r="E26" s="299"/>
      <c r="F26" s="299"/>
      <c r="G26" s="299"/>
      <c r="H26" s="299"/>
      <c r="I26" s="299"/>
      <c r="J26" s="299"/>
      <c r="K26" s="152"/>
      <c r="L26" s="153"/>
      <c r="M26" s="153"/>
      <c r="N26" s="153"/>
      <c r="O26" s="153"/>
      <c r="P26" s="153"/>
      <c r="Q26" s="153"/>
      <c r="R26" s="153"/>
      <c r="S26" s="153"/>
      <c r="T26" s="153"/>
      <c r="U26" s="153"/>
      <c r="V26" s="152"/>
      <c r="W26" s="154"/>
    </row>
    <row r="27" spans="1:23" ht="16" customHeight="1">
      <c r="A27" s="299"/>
      <c r="B27" s="299"/>
      <c r="C27" s="299"/>
      <c r="D27" s="299"/>
      <c r="E27" s="299"/>
      <c r="F27" s="299"/>
      <c r="G27" s="299"/>
      <c r="H27" s="299"/>
      <c r="I27" s="299"/>
      <c r="J27" s="299"/>
      <c r="K27" s="152"/>
      <c r="L27" s="153"/>
      <c r="M27" s="153"/>
      <c r="N27" s="153"/>
      <c r="O27" s="153"/>
      <c r="P27" s="153"/>
      <c r="Q27" s="153"/>
      <c r="R27" s="153"/>
      <c r="S27" s="153"/>
      <c r="T27" s="153"/>
      <c r="U27" s="153"/>
      <c r="V27" s="152"/>
      <c r="W27" s="154"/>
    </row>
    <row r="28" spans="1:23" ht="16" customHeight="1">
      <c r="A28" s="299"/>
      <c r="B28" s="299"/>
      <c r="C28" s="299"/>
      <c r="D28" s="299"/>
      <c r="E28" s="299"/>
      <c r="F28" s="299"/>
      <c r="G28" s="299"/>
      <c r="H28" s="299"/>
      <c r="I28" s="299"/>
      <c r="J28" s="299"/>
      <c r="K28" s="152"/>
      <c r="L28" s="153"/>
      <c r="M28" s="153"/>
      <c r="N28" s="153"/>
      <c r="O28" s="153"/>
      <c r="P28" s="153"/>
      <c r="Q28" s="153"/>
      <c r="R28" s="153"/>
      <c r="S28" s="153"/>
      <c r="T28" s="153"/>
      <c r="U28" s="153"/>
      <c r="V28" s="152"/>
      <c r="W28" s="154"/>
    </row>
    <row r="29" spans="1:23" ht="16" customHeight="1">
      <c r="A29" s="299"/>
      <c r="B29" s="299"/>
      <c r="C29" s="299"/>
      <c r="D29" s="299"/>
      <c r="E29" s="299"/>
      <c r="F29" s="299"/>
      <c r="G29" s="299"/>
      <c r="H29" s="299"/>
      <c r="I29" s="299"/>
      <c r="J29" s="299"/>
      <c r="K29" s="152"/>
      <c r="L29" s="153"/>
      <c r="M29" s="153"/>
      <c r="N29" s="153"/>
      <c r="O29" s="153"/>
      <c r="P29" s="153"/>
      <c r="Q29" s="153"/>
      <c r="R29" s="153"/>
      <c r="S29" s="153"/>
      <c r="T29" s="153"/>
      <c r="U29" s="153"/>
      <c r="V29" s="152"/>
      <c r="W29" s="154"/>
    </row>
    <row r="30" spans="1:23" ht="16" customHeight="1">
      <c r="A30" s="299"/>
      <c r="B30" s="299"/>
      <c r="C30" s="299"/>
      <c r="D30" s="299"/>
      <c r="E30" s="299"/>
      <c r="F30" s="299"/>
      <c r="G30" s="299"/>
      <c r="H30" s="299"/>
      <c r="I30" s="299"/>
      <c r="J30" s="299"/>
      <c r="K30" s="152"/>
      <c r="L30" s="153"/>
      <c r="M30" s="153"/>
      <c r="N30" s="153"/>
      <c r="O30" s="153"/>
      <c r="P30" s="153"/>
      <c r="Q30" s="153"/>
      <c r="R30" s="153"/>
      <c r="S30" s="153"/>
      <c r="T30" s="153"/>
      <c r="U30" s="153"/>
      <c r="V30" s="152"/>
      <c r="W30" s="154"/>
    </row>
    <row r="31" spans="1:23" ht="16" customHeight="1">
      <c r="A31" s="299"/>
      <c r="B31" s="299"/>
      <c r="C31" s="299"/>
      <c r="D31" s="299"/>
      <c r="E31" s="299"/>
      <c r="F31" s="299"/>
      <c r="G31" s="299"/>
      <c r="H31" s="299"/>
      <c r="I31" s="299"/>
      <c r="J31" s="299"/>
      <c r="K31" s="152"/>
      <c r="L31" s="153"/>
      <c r="M31" s="153"/>
      <c r="N31" s="153"/>
      <c r="O31" s="153"/>
      <c r="P31" s="153"/>
      <c r="Q31" s="153"/>
      <c r="R31" s="153"/>
      <c r="S31" s="153"/>
      <c r="T31" s="153"/>
      <c r="U31" s="153"/>
      <c r="V31" s="152"/>
      <c r="W31" s="154"/>
    </row>
    <row r="32" spans="1:23" ht="16" customHeight="1">
      <c r="A32" s="299"/>
      <c r="B32" s="299"/>
      <c r="C32" s="299"/>
      <c r="D32" s="299"/>
      <c r="E32" s="299"/>
      <c r="F32" s="299"/>
      <c r="G32" s="299"/>
      <c r="H32" s="299"/>
      <c r="I32" s="299"/>
      <c r="J32" s="299"/>
      <c r="K32" s="152"/>
      <c r="L32" s="153"/>
      <c r="M32" s="153"/>
      <c r="N32" s="153"/>
      <c r="O32" s="153"/>
      <c r="P32" s="153"/>
      <c r="Q32" s="153"/>
      <c r="R32" s="153"/>
      <c r="S32" s="153"/>
      <c r="T32" s="153"/>
      <c r="U32" s="153"/>
      <c r="V32" s="152"/>
      <c r="W32" s="154"/>
    </row>
    <row r="33" spans="1:23" ht="16" customHeight="1">
      <c r="A33" s="299"/>
      <c r="B33" s="299"/>
      <c r="C33" s="299"/>
      <c r="D33" s="299"/>
      <c r="E33" s="299"/>
      <c r="F33" s="299"/>
      <c r="G33" s="299"/>
      <c r="H33" s="299"/>
      <c r="I33" s="299"/>
      <c r="J33" s="299"/>
      <c r="K33" s="152"/>
      <c r="L33" s="153"/>
      <c r="M33" s="153"/>
      <c r="N33" s="153"/>
      <c r="O33" s="153"/>
      <c r="P33" s="153"/>
      <c r="Q33" s="153"/>
      <c r="R33" s="153"/>
      <c r="S33" s="153"/>
      <c r="T33" s="153"/>
      <c r="U33" s="153"/>
      <c r="V33" s="152"/>
      <c r="W33" s="154"/>
    </row>
    <row r="34" spans="1:23" ht="16" customHeight="1">
      <c r="A34" s="299"/>
      <c r="B34" s="299"/>
      <c r="C34" s="299"/>
      <c r="D34" s="299"/>
      <c r="E34" s="299"/>
      <c r="F34" s="299"/>
      <c r="G34" s="299"/>
      <c r="H34" s="299"/>
      <c r="I34" s="299"/>
      <c r="J34" s="299"/>
      <c r="K34" s="152"/>
      <c r="L34" s="153"/>
      <c r="M34" s="153"/>
      <c r="N34" s="153"/>
      <c r="O34" s="153"/>
      <c r="P34" s="153"/>
      <c r="Q34" s="153"/>
      <c r="R34" s="153"/>
      <c r="S34" s="153"/>
      <c r="T34" s="153"/>
      <c r="U34" s="153"/>
      <c r="V34" s="152"/>
      <c r="W34" s="154"/>
    </row>
    <row r="35" spans="1:23" ht="16" customHeight="1">
      <c r="A35" s="299"/>
      <c r="B35" s="299"/>
      <c r="C35" s="299"/>
      <c r="D35" s="299"/>
      <c r="E35" s="299"/>
      <c r="F35" s="299"/>
      <c r="G35" s="299"/>
      <c r="H35" s="299"/>
      <c r="I35" s="299"/>
      <c r="J35" s="299"/>
      <c r="K35" s="152"/>
      <c r="L35" s="153"/>
      <c r="M35" s="153"/>
      <c r="N35" s="153"/>
      <c r="O35" s="153"/>
      <c r="P35" s="153"/>
      <c r="Q35" s="153"/>
      <c r="R35" s="153"/>
      <c r="S35" s="153"/>
      <c r="T35" s="153"/>
      <c r="U35" s="153"/>
      <c r="V35" s="152"/>
      <c r="W35" s="154"/>
    </row>
    <row r="36" spans="1:23" ht="16" customHeight="1">
      <c r="A36" s="299"/>
      <c r="B36" s="299"/>
      <c r="C36" s="299"/>
      <c r="D36" s="299"/>
      <c r="E36" s="299"/>
      <c r="F36" s="299"/>
      <c r="G36" s="299"/>
      <c r="H36" s="299"/>
      <c r="I36" s="299"/>
      <c r="J36" s="299"/>
      <c r="K36" s="152"/>
      <c r="L36" s="153"/>
      <c r="M36" s="153"/>
      <c r="N36" s="153"/>
      <c r="O36" s="153"/>
      <c r="P36" s="153"/>
      <c r="Q36" s="153"/>
      <c r="R36" s="153"/>
      <c r="S36" s="153"/>
      <c r="T36" s="153"/>
      <c r="U36" s="153"/>
      <c r="V36" s="152"/>
      <c r="W36" s="154"/>
    </row>
    <row r="37" spans="1:23" ht="16" customHeight="1">
      <c r="A37" s="299"/>
      <c r="B37" s="299"/>
      <c r="C37" s="299"/>
      <c r="D37" s="299"/>
      <c r="E37" s="299"/>
      <c r="F37" s="299"/>
      <c r="G37" s="299"/>
      <c r="H37" s="299"/>
      <c r="I37" s="299"/>
      <c r="J37" s="299"/>
      <c r="K37" s="152"/>
      <c r="L37" s="153"/>
      <c r="M37" s="153"/>
      <c r="N37" s="153"/>
      <c r="O37" s="153"/>
      <c r="P37" s="153"/>
      <c r="Q37" s="153"/>
      <c r="R37" s="153"/>
      <c r="S37" s="153"/>
      <c r="T37" s="153"/>
      <c r="U37" s="153"/>
      <c r="V37" s="152"/>
      <c r="W37" s="154"/>
    </row>
    <row r="38" spans="1:23" ht="16" customHeight="1">
      <c r="A38" s="299"/>
      <c r="B38" s="299"/>
      <c r="C38" s="299"/>
      <c r="D38" s="299"/>
      <c r="E38" s="299"/>
      <c r="F38" s="299"/>
      <c r="G38" s="299"/>
      <c r="H38" s="299"/>
      <c r="I38" s="299"/>
      <c r="J38" s="299"/>
      <c r="K38" s="152"/>
      <c r="L38" s="153"/>
      <c r="M38" s="153"/>
      <c r="N38" s="153"/>
      <c r="O38" s="153"/>
      <c r="P38" s="153"/>
      <c r="Q38" s="153"/>
      <c r="R38" s="153"/>
      <c r="S38" s="153"/>
      <c r="T38" s="153"/>
      <c r="U38" s="153"/>
      <c r="V38" s="152"/>
      <c r="W38" s="154"/>
    </row>
    <row r="39" spans="1:23" ht="16" customHeight="1">
      <c r="A39" s="299"/>
      <c r="B39" s="299"/>
      <c r="C39" s="299"/>
      <c r="D39" s="299"/>
      <c r="E39" s="299"/>
      <c r="F39" s="299"/>
      <c r="G39" s="299"/>
      <c r="H39" s="299"/>
      <c r="I39" s="299"/>
      <c r="J39" s="299"/>
      <c r="K39" s="152"/>
      <c r="L39" s="153"/>
      <c r="M39" s="153"/>
      <c r="N39" s="153"/>
      <c r="O39" s="153"/>
      <c r="P39" s="153"/>
      <c r="Q39" s="153"/>
      <c r="R39" s="153"/>
      <c r="S39" s="153"/>
      <c r="T39" s="153"/>
      <c r="U39" s="153"/>
      <c r="V39" s="152"/>
      <c r="W39" s="154"/>
    </row>
    <row r="40" spans="1:23" ht="16" customHeight="1">
      <c r="A40" s="299"/>
      <c r="B40" s="299"/>
      <c r="C40" s="299"/>
      <c r="D40" s="299"/>
      <c r="E40" s="299"/>
      <c r="F40" s="299"/>
      <c r="G40" s="299"/>
      <c r="H40" s="299"/>
      <c r="I40" s="299"/>
      <c r="J40" s="299"/>
      <c r="K40" s="152"/>
      <c r="L40" s="153"/>
      <c r="M40" s="153"/>
      <c r="N40" s="153"/>
      <c r="O40" s="153"/>
      <c r="P40" s="153"/>
      <c r="Q40" s="153"/>
      <c r="R40" s="153"/>
      <c r="S40" s="153"/>
      <c r="T40" s="153"/>
      <c r="U40" s="153"/>
      <c r="V40" s="152"/>
      <c r="W40" s="154"/>
    </row>
    <row r="41" spans="1:23" ht="16" customHeight="1">
      <c r="A41" s="155"/>
      <c r="B41" s="153"/>
      <c r="C41" s="153"/>
      <c r="D41" s="153"/>
      <c r="E41" s="153"/>
      <c r="F41" s="153"/>
      <c r="G41" s="153"/>
      <c r="H41" s="153"/>
      <c r="I41" s="153"/>
      <c r="J41" s="153"/>
      <c r="K41" s="152"/>
      <c r="L41" s="153"/>
      <c r="M41" s="153"/>
      <c r="N41" s="153"/>
      <c r="O41" s="153"/>
      <c r="P41" s="153"/>
      <c r="Q41" s="153"/>
      <c r="R41" s="153"/>
      <c r="S41" s="153"/>
      <c r="T41" s="153"/>
      <c r="U41" s="153"/>
      <c r="V41" s="152"/>
      <c r="W41" s="154"/>
    </row>
    <row r="42" spans="1:23" ht="16" customHeight="1">
      <c r="A42" s="155"/>
      <c r="B42" s="153"/>
      <c r="C42" s="153"/>
      <c r="D42" s="153"/>
      <c r="E42" s="153"/>
      <c r="F42" s="153"/>
      <c r="G42" s="153"/>
      <c r="H42" s="153"/>
      <c r="I42" s="153"/>
      <c r="J42" s="153"/>
      <c r="K42" s="152"/>
      <c r="L42" s="153"/>
      <c r="M42" s="153"/>
      <c r="N42" s="153"/>
      <c r="O42" s="153"/>
      <c r="P42" s="153"/>
      <c r="Q42" s="153"/>
      <c r="R42" s="153"/>
      <c r="S42" s="153"/>
      <c r="T42" s="153"/>
      <c r="U42" s="153"/>
      <c r="V42" s="152"/>
      <c r="W42" s="154"/>
    </row>
    <row r="43" spans="1:23" ht="14" customHeight="1">
      <c r="A43" s="295"/>
      <c r="B43" s="295"/>
      <c r="C43" s="295"/>
      <c r="D43" s="295"/>
      <c r="E43" s="295"/>
      <c r="F43" s="120"/>
      <c r="G43" s="120"/>
      <c r="H43" s="120"/>
      <c r="I43" s="120"/>
      <c r="J43" s="120"/>
      <c r="K43" s="152"/>
      <c r="L43" s="156"/>
      <c r="M43" s="156"/>
      <c r="N43" s="156"/>
      <c r="O43" s="156"/>
      <c r="P43" s="156"/>
      <c r="Q43" s="153"/>
      <c r="R43" s="153"/>
      <c r="S43" s="153"/>
      <c r="T43" s="153"/>
      <c r="U43" s="153"/>
      <c r="V43" s="152"/>
      <c r="W43" s="154"/>
    </row>
    <row r="44" spans="1:23" ht="16" customHeight="1">
      <c r="A44" s="151"/>
      <c r="B44" s="152"/>
      <c r="C44" s="152"/>
      <c r="D44" s="152"/>
      <c r="E44" s="152"/>
      <c r="F44" s="152"/>
      <c r="G44" s="152"/>
      <c r="H44" s="152"/>
      <c r="I44" s="152"/>
      <c r="J44" s="152"/>
      <c r="K44" s="152"/>
      <c r="L44" s="152"/>
      <c r="M44" s="152"/>
      <c r="N44" s="152"/>
      <c r="O44" s="152"/>
      <c r="P44" s="152"/>
      <c r="Q44" s="152"/>
      <c r="R44" s="152"/>
      <c r="S44" s="152"/>
      <c r="T44" s="152"/>
      <c r="U44" s="152"/>
      <c r="V44" s="152"/>
      <c r="W44" s="154"/>
    </row>
    <row r="45" spans="1:23" ht="16" customHeight="1">
      <c r="A45" s="151"/>
      <c r="B45" s="294" t="s">
        <v>134</v>
      </c>
      <c r="C45" s="294"/>
      <c r="D45" s="294"/>
      <c r="E45" s="294"/>
      <c r="F45" s="294"/>
      <c r="G45" s="294"/>
      <c r="H45" s="294"/>
      <c r="I45" s="294"/>
      <c r="J45" s="294"/>
      <c r="K45" s="294"/>
      <c r="L45" s="294"/>
      <c r="M45" s="294"/>
      <c r="N45" s="294"/>
      <c r="O45" s="294"/>
      <c r="P45" s="294"/>
      <c r="Q45" s="294"/>
      <c r="R45" s="294"/>
      <c r="S45" s="294"/>
      <c r="T45" s="294"/>
      <c r="U45" s="294"/>
      <c r="V45" s="157"/>
      <c r="W45" s="154"/>
    </row>
    <row r="46" spans="1:23" ht="16" customHeight="1">
      <c r="A46" s="151"/>
      <c r="B46" s="294"/>
      <c r="C46" s="294"/>
      <c r="D46" s="294"/>
      <c r="E46" s="294"/>
      <c r="F46" s="294"/>
      <c r="G46" s="294"/>
      <c r="H46" s="294"/>
      <c r="I46" s="294"/>
      <c r="J46" s="294"/>
      <c r="K46" s="294"/>
      <c r="L46" s="294"/>
      <c r="M46" s="294"/>
      <c r="N46" s="294"/>
      <c r="O46" s="294"/>
      <c r="P46" s="294"/>
      <c r="Q46" s="294"/>
      <c r="R46" s="294"/>
      <c r="S46" s="294"/>
      <c r="T46" s="294"/>
      <c r="U46" s="294"/>
      <c r="V46" s="157"/>
      <c r="W46" s="154"/>
    </row>
    <row r="47" spans="1:23" ht="16" customHeight="1">
      <c r="A47" s="151"/>
      <c r="B47" s="151"/>
      <c r="C47" s="151"/>
      <c r="D47" s="151"/>
      <c r="E47" s="151"/>
      <c r="F47" s="151"/>
      <c r="G47" s="151"/>
      <c r="H47" s="151"/>
      <c r="I47" s="151"/>
      <c r="J47" s="151"/>
      <c r="K47" s="151"/>
      <c r="L47" s="151"/>
      <c r="M47" s="151"/>
      <c r="N47" s="151"/>
      <c r="O47" s="151"/>
      <c r="P47" s="151"/>
      <c r="Q47" s="151"/>
      <c r="R47" s="151"/>
      <c r="S47" s="151"/>
      <c r="T47" s="151"/>
      <c r="U47" s="151"/>
      <c r="V47" s="157"/>
      <c r="W47" s="154"/>
    </row>
    <row r="48" spans="1:23" ht="6" customHeight="1">
      <c r="W48" s="154"/>
    </row>
    <row r="49" spans="1:23" ht="32" customHeight="1" thickBot="1">
      <c r="A49" s="147" t="s">
        <v>186</v>
      </c>
      <c r="B49" s="44"/>
      <c r="C49" s="44"/>
      <c r="D49" s="44"/>
      <c r="E49" s="44"/>
      <c r="F49" s="44"/>
      <c r="G49" s="44"/>
      <c r="H49" s="44"/>
      <c r="I49" s="44"/>
      <c r="J49" s="44"/>
      <c r="K49" s="44"/>
      <c r="L49" s="44"/>
      <c r="M49" s="44"/>
      <c r="N49" s="44"/>
      <c r="O49" s="44"/>
      <c r="P49" s="44"/>
      <c r="Q49" s="44"/>
      <c r="R49" s="44"/>
      <c r="S49" s="44"/>
      <c r="T49" s="44"/>
      <c r="U49" s="44"/>
      <c r="V49" s="44"/>
      <c r="W49" s="154"/>
    </row>
    <row r="50" spans="1:23" ht="19" customHeight="1">
      <c r="A50" s="290" t="s">
        <v>187</v>
      </c>
      <c r="B50" s="290"/>
      <c r="C50" s="290"/>
      <c r="D50" s="290"/>
      <c r="E50" s="290"/>
      <c r="F50" s="290"/>
      <c r="G50" s="290"/>
      <c r="H50" s="290"/>
      <c r="I50" s="290"/>
      <c r="J50" s="290"/>
      <c r="K50" s="290"/>
      <c r="L50" s="290"/>
      <c r="M50" s="290"/>
      <c r="N50" s="290"/>
      <c r="O50" s="290"/>
      <c r="P50" s="290"/>
      <c r="Q50" s="290"/>
      <c r="R50" s="290"/>
      <c r="S50" s="290"/>
      <c r="T50" s="290"/>
      <c r="U50" s="290"/>
      <c r="V50" s="291"/>
      <c r="W50" s="154"/>
    </row>
    <row r="51" spans="1:23" ht="19" customHeight="1">
      <c r="A51" s="290"/>
      <c r="B51" s="290"/>
      <c r="C51" s="290"/>
      <c r="D51" s="290"/>
      <c r="E51" s="290"/>
      <c r="F51" s="290"/>
      <c r="G51" s="290"/>
      <c r="H51" s="290"/>
      <c r="I51" s="290"/>
      <c r="J51" s="290"/>
      <c r="K51" s="290"/>
      <c r="L51" s="290"/>
      <c r="M51" s="290"/>
      <c r="N51" s="290"/>
      <c r="O51" s="290"/>
      <c r="P51" s="290"/>
      <c r="Q51" s="290"/>
      <c r="R51" s="290"/>
      <c r="S51" s="290"/>
      <c r="T51" s="290"/>
      <c r="U51" s="290"/>
      <c r="V51" s="291"/>
      <c r="W51" s="154"/>
    </row>
    <row r="52" spans="1:23" ht="23" customHeight="1" thickBot="1">
      <c r="A52" s="304" t="s">
        <v>157</v>
      </c>
      <c r="B52" s="305"/>
      <c r="C52" s="305"/>
      <c r="D52" s="305"/>
      <c r="E52" s="305"/>
      <c r="F52" s="305"/>
      <c r="G52" s="305"/>
      <c r="H52" s="305"/>
      <c r="I52" s="305"/>
      <c r="J52" s="305"/>
      <c r="K52" s="1"/>
      <c r="L52" s="1"/>
      <c r="M52" s="1"/>
      <c r="N52" s="1"/>
      <c r="O52" s="1"/>
      <c r="P52" s="1"/>
      <c r="Q52" s="1"/>
      <c r="R52" s="1"/>
      <c r="S52" s="1"/>
      <c r="T52" s="1"/>
      <c r="U52" s="1"/>
      <c r="V52" s="1"/>
      <c r="W52" s="154"/>
    </row>
    <row r="53" spans="1:23">
      <c r="W53" s="154"/>
    </row>
    <row r="54" spans="1:23" ht="17">
      <c r="A54" s="292" t="s">
        <v>135</v>
      </c>
      <c r="B54" s="292"/>
      <c r="C54" s="292"/>
      <c r="D54" s="292"/>
      <c r="E54" s="292"/>
      <c r="F54" s="292"/>
      <c r="H54" s="292" t="s">
        <v>76</v>
      </c>
      <c r="I54" s="292"/>
      <c r="J54" s="292"/>
      <c r="K54" s="292"/>
      <c r="L54" s="292"/>
      <c r="M54" s="292"/>
      <c r="O54" s="292" t="s">
        <v>136</v>
      </c>
      <c r="P54" s="292"/>
      <c r="Q54" s="292"/>
      <c r="S54" s="292" t="s">
        <v>137</v>
      </c>
      <c r="T54" s="292"/>
      <c r="U54" s="292"/>
      <c r="W54" s="154"/>
    </row>
    <row r="55" spans="1:23" ht="17">
      <c r="A55" s="28"/>
      <c r="B55" s="28"/>
      <c r="C55" s="28"/>
      <c r="D55" s="28"/>
      <c r="E55" s="28"/>
      <c r="F55" s="28"/>
      <c r="W55" s="154"/>
    </row>
    <row r="56" spans="1:23" ht="17">
      <c r="A56" s="293" t="s">
        <v>138</v>
      </c>
      <c r="B56" s="293"/>
      <c r="C56" s="293"/>
      <c r="D56" s="293"/>
      <c r="E56" s="293"/>
      <c r="F56" s="293"/>
      <c r="G56" s="120"/>
      <c r="H56" s="296" t="s">
        <v>139</v>
      </c>
      <c r="I56" s="296"/>
      <c r="J56" s="296"/>
      <c r="K56" s="296"/>
      <c r="L56" s="296"/>
      <c r="M56" s="296"/>
      <c r="N56" s="120"/>
      <c r="O56" s="301" t="s">
        <v>140</v>
      </c>
      <c r="P56" s="301"/>
      <c r="Q56" s="301"/>
      <c r="R56" s="120"/>
      <c r="S56" s="120"/>
      <c r="T56" s="162" t="s">
        <v>156</v>
      </c>
      <c r="U56" s="120"/>
      <c r="W56" s="154"/>
    </row>
    <row r="57" spans="1:23" ht="17">
      <c r="A57" s="160"/>
      <c r="B57" s="160"/>
      <c r="C57" s="160"/>
      <c r="D57" s="160"/>
      <c r="E57" s="160"/>
      <c r="F57" s="160"/>
      <c r="H57" s="159"/>
      <c r="I57" s="159"/>
      <c r="J57" s="159"/>
      <c r="K57" s="159"/>
      <c r="L57" s="159"/>
      <c r="M57" s="159"/>
      <c r="O57" s="302"/>
      <c r="P57" s="302"/>
      <c r="Q57" s="302"/>
      <c r="T57" s="161"/>
      <c r="W57" s="154"/>
    </row>
    <row r="58" spans="1:23" ht="17">
      <c r="A58" s="293" t="s">
        <v>141</v>
      </c>
      <c r="B58" s="293"/>
      <c r="C58" s="293"/>
      <c r="D58" s="293"/>
      <c r="E58" s="293"/>
      <c r="F58" s="293"/>
      <c r="G58" s="120"/>
      <c r="H58" s="296" t="s">
        <v>142</v>
      </c>
      <c r="I58" s="296"/>
      <c r="J58" s="296"/>
      <c r="K58" s="296"/>
      <c r="L58" s="296"/>
      <c r="M58" s="296"/>
      <c r="N58" s="120"/>
      <c r="O58" s="301" t="s">
        <v>143</v>
      </c>
      <c r="P58" s="301"/>
      <c r="Q58" s="301"/>
      <c r="R58" s="120"/>
      <c r="S58" s="120"/>
      <c r="T58" s="162" t="s">
        <v>156</v>
      </c>
      <c r="U58" s="120"/>
      <c r="W58" s="154"/>
    </row>
    <row r="59" spans="1:23" ht="17">
      <c r="A59" s="160"/>
      <c r="B59" s="160"/>
      <c r="C59" s="160"/>
      <c r="D59" s="160"/>
      <c r="E59" s="160"/>
      <c r="F59" s="160"/>
      <c r="H59" s="159"/>
      <c r="I59" s="159"/>
      <c r="J59" s="159"/>
      <c r="K59" s="159"/>
      <c r="L59" s="159"/>
      <c r="M59" s="159"/>
      <c r="O59" s="302"/>
      <c r="P59" s="302"/>
      <c r="Q59" s="302"/>
      <c r="T59" s="161"/>
      <c r="W59" s="154"/>
    </row>
    <row r="60" spans="1:23" ht="17">
      <c r="A60" s="293" t="s">
        <v>144</v>
      </c>
      <c r="B60" s="293"/>
      <c r="C60" s="293"/>
      <c r="D60" s="293"/>
      <c r="E60" s="293"/>
      <c r="F60" s="293"/>
      <c r="G60" s="120"/>
      <c r="H60" s="296" t="s">
        <v>145</v>
      </c>
      <c r="I60" s="296"/>
      <c r="J60" s="296"/>
      <c r="K60" s="296"/>
      <c r="L60" s="296"/>
      <c r="M60" s="296"/>
      <c r="N60" s="120"/>
      <c r="O60" s="301" t="s">
        <v>146</v>
      </c>
      <c r="P60" s="301"/>
      <c r="Q60" s="301"/>
      <c r="R60" s="120"/>
      <c r="S60" s="120"/>
      <c r="T60" s="162" t="s">
        <v>156</v>
      </c>
      <c r="U60" s="120"/>
      <c r="W60" s="154"/>
    </row>
    <row r="61" spans="1:23" ht="17">
      <c r="A61" s="160"/>
      <c r="B61" s="160"/>
      <c r="C61" s="160"/>
      <c r="D61" s="160"/>
      <c r="E61" s="160"/>
      <c r="F61" s="160"/>
      <c r="H61" s="159"/>
      <c r="I61" s="159"/>
      <c r="J61" s="159"/>
      <c r="K61" s="159"/>
      <c r="L61" s="159"/>
      <c r="M61" s="159"/>
      <c r="O61" s="302"/>
      <c r="P61" s="302"/>
      <c r="Q61" s="302"/>
      <c r="T61" s="161"/>
      <c r="W61" s="154"/>
    </row>
    <row r="62" spans="1:23" ht="17">
      <c r="A62" s="293" t="s">
        <v>147</v>
      </c>
      <c r="B62" s="293"/>
      <c r="C62" s="293"/>
      <c r="D62" s="293"/>
      <c r="E62" s="293"/>
      <c r="F62" s="293"/>
      <c r="G62" s="120"/>
      <c r="H62" s="296" t="s">
        <v>148</v>
      </c>
      <c r="I62" s="296"/>
      <c r="J62" s="296"/>
      <c r="K62" s="296"/>
      <c r="L62" s="296"/>
      <c r="M62" s="296"/>
      <c r="N62" s="120"/>
      <c r="O62" s="301" t="s">
        <v>149</v>
      </c>
      <c r="P62" s="301"/>
      <c r="Q62" s="301"/>
      <c r="R62" s="120"/>
      <c r="S62" s="120"/>
      <c r="T62" s="162" t="s">
        <v>156</v>
      </c>
      <c r="U62" s="120"/>
      <c r="W62" s="154"/>
    </row>
    <row r="63" spans="1:23" ht="17">
      <c r="A63" s="160"/>
      <c r="B63" s="160"/>
      <c r="C63" s="160"/>
      <c r="D63" s="160"/>
      <c r="E63" s="160"/>
      <c r="F63" s="160"/>
      <c r="H63" s="159"/>
      <c r="I63" s="159"/>
      <c r="J63" s="159"/>
      <c r="K63" s="159"/>
      <c r="L63" s="159"/>
      <c r="M63" s="159"/>
      <c r="O63" s="302"/>
      <c r="P63" s="302"/>
      <c r="Q63" s="302"/>
      <c r="T63" s="161"/>
      <c r="W63" s="154"/>
    </row>
    <row r="64" spans="1:23" ht="17">
      <c r="A64" s="293" t="s">
        <v>150</v>
      </c>
      <c r="B64" s="293"/>
      <c r="C64" s="293"/>
      <c r="D64" s="293"/>
      <c r="E64" s="293"/>
      <c r="F64" s="293"/>
      <c r="G64" s="120"/>
      <c r="H64" s="296" t="s">
        <v>151</v>
      </c>
      <c r="I64" s="296"/>
      <c r="J64" s="296"/>
      <c r="K64" s="296"/>
      <c r="L64" s="296"/>
      <c r="M64" s="296"/>
      <c r="N64" s="120"/>
      <c r="O64" s="301" t="s">
        <v>152</v>
      </c>
      <c r="P64" s="301"/>
      <c r="Q64" s="301"/>
      <c r="R64" s="120"/>
      <c r="S64" s="120"/>
      <c r="T64" s="162" t="s">
        <v>202</v>
      </c>
      <c r="U64" s="120"/>
      <c r="W64" s="154"/>
    </row>
    <row r="65" spans="1:23" ht="17">
      <c r="A65" s="160"/>
      <c r="B65" s="160"/>
      <c r="C65" s="160"/>
      <c r="D65" s="160"/>
      <c r="E65" s="160"/>
      <c r="F65" s="160"/>
      <c r="O65" s="302"/>
      <c r="P65" s="302"/>
      <c r="Q65" s="302"/>
      <c r="T65" s="161"/>
      <c r="W65" s="154"/>
    </row>
    <row r="66" spans="1:23" ht="17">
      <c r="A66" s="293" t="s">
        <v>153</v>
      </c>
      <c r="B66" s="293"/>
      <c r="C66" s="293"/>
      <c r="D66" s="293"/>
      <c r="E66" s="293"/>
      <c r="F66" s="293"/>
      <c r="G66" s="120"/>
      <c r="H66" s="296" t="s">
        <v>154</v>
      </c>
      <c r="I66" s="296"/>
      <c r="J66" s="296"/>
      <c r="K66" s="296"/>
      <c r="L66" s="296"/>
      <c r="M66" s="296"/>
      <c r="N66" s="120"/>
      <c r="O66" s="301" t="s">
        <v>155</v>
      </c>
      <c r="P66" s="301"/>
      <c r="Q66" s="301"/>
      <c r="R66" s="120"/>
      <c r="S66" s="120"/>
      <c r="T66" s="162" t="s">
        <v>202</v>
      </c>
      <c r="U66" s="120"/>
      <c r="W66" s="154"/>
    </row>
    <row r="67" spans="1:23">
      <c r="A67" s="163"/>
      <c r="B67" s="163"/>
      <c r="C67" s="163"/>
      <c r="D67" s="163"/>
      <c r="E67" s="163"/>
      <c r="F67" s="163"/>
      <c r="H67" s="159"/>
      <c r="I67" s="159"/>
      <c r="J67" s="159"/>
      <c r="K67" s="159"/>
      <c r="L67" s="159"/>
      <c r="M67" s="159"/>
      <c r="T67" s="161"/>
      <c r="W67" s="154"/>
    </row>
    <row r="68" spans="1:23" ht="22" customHeight="1" thickBot="1">
      <c r="A68" s="306" t="s">
        <v>131</v>
      </c>
      <c r="B68" s="306"/>
      <c r="C68" s="306"/>
      <c r="D68" s="306"/>
      <c r="E68" s="306"/>
      <c r="F68" s="306"/>
      <c r="G68" s="306"/>
      <c r="H68" s="306"/>
      <c r="I68" s="306"/>
      <c r="J68" s="306"/>
      <c r="T68" s="161"/>
      <c r="W68" s="154"/>
    </row>
    <row r="69" spans="1:23">
      <c r="H69" s="159"/>
      <c r="I69" s="159"/>
      <c r="J69" s="159"/>
      <c r="K69" s="159"/>
      <c r="L69" s="159"/>
      <c r="M69" s="159"/>
      <c r="T69" s="161"/>
      <c r="W69" s="154"/>
    </row>
    <row r="70" spans="1:23" ht="16" customHeight="1">
      <c r="A70" s="285" t="s">
        <v>204</v>
      </c>
      <c r="B70" s="307"/>
      <c r="C70" s="307"/>
      <c r="D70" s="307"/>
      <c r="E70" s="307"/>
      <c r="F70" s="307"/>
      <c r="G70" s="307"/>
      <c r="H70" s="307"/>
      <c r="I70" s="307"/>
      <c r="J70" s="307"/>
      <c r="K70" s="307"/>
      <c r="L70" s="307"/>
      <c r="M70" s="307"/>
      <c r="N70" s="307"/>
      <c r="O70" s="307"/>
      <c r="P70" s="307"/>
      <c r="Q70" s="307"/>
      <c r="R70" s="307"/>
      <c r="S70" s="307"/>
      <c r="T70" s="307"/>
      <c r="U70" s="307"/>
      <c r="W70" s="154"/>
    </row>
    <row r="71" spans="1:23">
      <c r="A71" s="307"/>
      <c r="B71" s="307"/>
      <c r="C71" s="307"/>
      <c r="D71" s="307"/>
      <c r="E71" s="307"/>
      <c r="F71" s="307"/>
      <c r="G71" s="307"/>
      <c r="H71" s="307"/>
      <c r="I71" s="307"/>
      <c r="J71" s="307"/>
      <c r="K71" s="307"/>
      <c r="L71" s="307"/>
      <c r="M71" s="307"/>
      <c r="N71" s="307"/>
      <c r="O71" s="307"/>
      <c r="P71" s="307"/>
      <c r="Q71" s="307"/>
      <c r="R71" s="307"/>
      <c r="S71" s="307"/>
      <c r="T71" s="307"/>
      <c r="U71" s="307"/>
      <c r="V71" s="166"/>
      <c r="W71" s="154"/>
    </row>
    <row r="72" spans="1:23">
      <c r="A72" s="307"/>
      <c r="B72" s="307"/>
      <c r="C72" s="307"/>
      <c r="D72" s="307"/>
      <c r="E72" s="307"/>
      <c r="F72" s="307"/>
      <c r="G72" s="307"/>
      <c r="H72" s="307"/>
      <c r="I72" s="307"/>
      <c r="J72" s="307"/>
      <c r="K72" s="307"/>
      <c r="L72" s="307"/>
      <c r="M72" s="307"/>
      <c r="N72" s="307"/>
      <c r="O72" s="307"/>
      <c r="P72" s="307"/>
      <c r="Q72" s="307"/>
      <c r="R72" s="307"/>
      <c r="S72" s="307"/>
      <c r="T72" s="307"/>
      <c r="U72" s="307"/>
      <c r="W72" s="154"/>
    </row>
    <row r="73" spans="1:23">
      <c r="A73" s="307"/>
      <c r="B73" s="307"/>
      <c r="C73" s="307"/>
      <c r="D73" s="307"/>
      <c r="E73" s="307"/>
      <c r="F73" s="307"/>
      <c r="G73" s="307"/>
      <c r="H73" s="307"/>
      <c r="I73" s="307"/>
      <c r="J73" s="307"/>
      <c r="K73" s="307"/>
      <c r="L73" s="307"/>
      <c r="M73" s="307"/>
      <c r="N73" s="307"/>
      <c r="O73" s="307"/>
      <c r="P73" s="307"/>
      <c r="Q73" s="307"/>
      <c r="R73" s="307"/>
      <c r="S73" s="307"/>
      <c r="T73" s="307"/>
      <c r="U73" s="307"/>
      <c r="W73" s="154"/>
    </row>
    <row r="74" spans="1:23">
      <c r="A74" s="307"/>
      <c r="B74" s="307"/>
      <c r="C74" s="307"/>
      <c r="D74" s="307"/>
      <c r="E74" s="307"/>
      <c r="F74" s="307"/>
      <c r="G74" s="307"/>
      <c r="H74" s="307"/>
      <c r="I74" s="307"/>
      <c r="J74" s="307"/>
      <c r="K74" s="307"/>
      <c r="L74" s="307"/>
      <c r="M74" s="307"/>
      <c r="N74" s="307"/>
      <c r="O74" s="307"/>
      <c r="P74" s="307"/>
      <c r="Q74" s="307"/>
      <c r="R74" s="307"/>
      <c r="S74" s="307"/>
      <c r="T74" s="307"/>
      <c r="U74" s="307"/>
      <c r="V74" s="166"/>
      <c r="W74" s="154"/>
    </row>
    <row r="75" spans="1:23">
      <c r="A75" s="307"/>
      <c r="B75" s="307"/>
      <c r="C75" s="307"/>
      <c r="D75" s="307"/>
      <c r="E75" s="307"/>
      <c r="F75" s="307"/>
      <c r="G75" s="307"/>
      <c r="H75" s="307"/>
      <c r="I75" s="307"/>
      <c r="J75" s="307"/>
      <c r="K75" s="307"/>
      <c r="L75" s="307"/>
      <c r="M75" s="307"/>
      <c r="N75" s="307"/>
      <c r="O75" s="307"/>
      <c r="P75" s="307"/>
      <c r="Q75" s="307"/>
      <c r="R75" s="307"/>
      <c r="S75" s="307"/>
      <c r="T75" s="307"/>
      <c r="U75" s="307"/>
      <c r="W75" s="154"/>
    </row>
    <row r="76" spans="1:23" ht="9" customHeight="1">
      <c r="W76" s="154"/>
    </row>
    <row r="77" spans="1:23" ht="23" customHeight="1" thickBot="1">
      <c r="A77" s="308" t="s">
        <v>158</v>
      </c>
      <c r="B77" s="308"/>
      <c r="C77" s="308"/>
      <c r="D77" s="308"/>
      <c r="E77" s="308"/>
      <c r="F77" s="308"/>
      <c r="G77" s="308"/>
      <c r="H77" s="308"/>
      <c r="I77" s="308"/>
      <c r="J77" s="308"/>
      <c r="W77" s="154"/>
    </row>
    <row r="78" spans="1:23">
      <c r="W78" s="154"/>
    </row>
    <row r="79" spans="1:23" ht="16" customHeight="1">
      <c r="A79" s="285" t="s">
        <v>203</v>
      </c>
      <c r="B79" s="285"/>
      <c r="C79" s="285"/>
      <c r="D79" s="285"/>
      <c r="E79" s="285"/>
      <c r="F79" s="285"/>
      <c r="G79" s="285"/>
      <c r="H79" s="285"/>
      <c r="I79" s="285"/>
      <c r="J79" s="285"/>
      <c r="W79" s="154"/>
    </row>
    <row r="80" spans="1:23">
      <c r="A80" s="285"/>
      <c r="B80" s="285"/>
      <c r="C80" s="285"/>
      <c r="D80" s="285"/>
      <c r="E80" s="285"/>
      <c r="F80" s="285"/>
      <c r="G80" s="285"/>
      <c r="H80" s="285"/>
      <c r="I80" s="285"/>
      <c r="J80" s="285"/>
      <c r="W80" s="154"/>
    </row>
    <row r="81" spans="1:23">
      <c r="A81" s="285"/>
      <c r="B81" s="285"/>
      <c r="C81" s="285"/>
      <c r="D81" s="285"/>
      <c r="E81" s="285"/>
      <c r="F81" s="285"/>
      <c r="G81" s="285"/>
      <c r="H81" s="285"/>
      <c r="I81" s="285"/>
      <c r="J81" s="285"/>
      <c r="W81" s="154"/>
    </row>
    <row r="82" spans="1:23">
      <c r="A82" s="285"/>
      <c r="B82" s="285"/>
      <c r="C82" s="285"/>
      <c r="D82" s="285"/>
      <c r="E82" s="285"/>
      <c r="F82" s="285"/>
      <c r="G82" s="285"/>
      <c r="H82" s="285"/>
      <c r="I82" s="285"/>
      <c r="J82" s="285"/>
      <c r="W82" s="154"/>
    </row>
    <row r="83" spans="1:23">
      <c r="A83" s="285"/>
      <c r="B83" s="285"/>
      <c r="C83" s="285"/>
      <c r="D83" s="285"/>
      <c r="E83" s="285"/>
      <c r="F83" s="285"/>
      <c r="G83" s="285"/>
      <c r="H83" s="285"/>
      <c r="I83" s="285"/>
      <c r="J83" s="285"/>
      <c r="W83" s="154"/>
    </row>
    <row r="84" spans="1:23">
      <c r="A84" s="285"/>
      <c r="B84" s="285"/>
      <c r="C84" s="285"/>
      <c r="D84" s="285"/>
      <c r="E84" s="285"/>
      <c r="F84" s="285"/>
      <c r="G84" s="285"/>
      <c r="H84" s="285"/>
      <c r="I84" s="285"/>
      <c r="J84" s="285"/>
      <c r="W84" s="154"/>
    </row>
    <row r="85" spans="1:23" ht="17" thickBot="1">
      <c r="A85" s="303"/>
      <c r="B85" s="303"/>
      <c r="C85" s="303"/>
      <c r="D85" s="303"/>
      <c r="E85" s="303"/>
      <c r="F85" s="303"/>
      <c r="G85" s="303"/>
      <c r="H85" s="303"/>
      <c r="I85" s="303"/>
      <c r="J85" s="303"/>
      <c r="K85" s="53"/>
      <c r="L85" s="53"/>
      <c r="M85" s="53"/>
      <c r="N85" s="53"/>
      <c r="O85" s="53"/>
      <c r="P85" s="53"/>
      <c r="Q85" s="53"/>
      <c r="R85" s="53"/>
      <c r="S85" s="53"/>
      <c r="T85" s="53"/>
      <c r="U85" s="53"/>
      <c r="V85" s="165"/>
      <c r="W85" s="154"/>
    </row>
    <row r="86" spans="1:23">
      <c r="A86" s="164"/>
      <c r="B86" s="164"/>
      <c r="C86" s="164"/>
      <c r="D86" s="164"/>
      <c r="E86" s="164"/>
      <c r="F86" s="164"/>
      <c r="G86" s="164"/>
      <c r="H86" s="164"/>
      <c r="I86" s="164"/>
      <c r="J86" s="164"/>
    </row>
    <row r="87" spans="1:23">
      <c r="A87" s="146"/>
      <c r="B87" s="146"/>
      <c r="C87" s="146"/>
      <c r="D87" s="146"/>
      <c r="E87" s="146"/>
      <c r="F87" s="146"/>
      <c r="G87" s="146"/>
      <c r="H87" s="146"/>
      <c r="I87" s="146"/>
      <c r="J87" s="146"/>
    </row>
    <row r="90" spans="1:23" ht="11" customHeight="1"/>
    <row r="91" spans="1:23" ht="30" customHeight="1"/>
  </sheetData>
  <mergeCells count="43">
    <mergeCell ref="A79:J85"/>
    <mergeCell ref="O66:Q66"/>
    <mergeCell ref="A64:F64"/>
    <mergeCell ref="A66:F66"/>
    <mergeCell ref="A52:J52"/>
    <mergeCell ref="A68:J68"/>
    <mergeCell ref="A70:U75"/>
    <mergeCell ref="A77:J77"/>
    <mergeCell ref="A60:F60"/>
    <mergeCell ref="A62:F62"/>
    <mergeCell ref="H66:M66"/>
    <mergeCell ref="O56:Q56"/>
    <mergeCell ref="O57:Q57"/>
    <mergeCell ref="O58:Q58"/>
    <mergeCell ref="O59:Q59"/>
    <mergeCell ref="O60:Q60"/>
    <mergeCell ref="H60:M60"/>
    <mergeCell ref="H62:M62"/>
    <mergeCell ref="H64:M64"/>
    <mergeCell ref="O64:Q64"/>
    <mergeCell ref="O65:Q65"/>
    <mergeCell ref="O61:Q61"/>
    <mergeCell ref="O62:Q62"/>
    <mergeCell ref="O63:Q63"/>
    <mergeCell ref="E2:R2"/>
    <mergeCell ref="E3:R3"/>
    <mergeCell ref="A15:J21"/>
    <mergeCell ref="L15:U21"/>
    <mergeCell ref="A23:J40"/>
    <mergeCell ref="A13:J13"/>
    <mergeCell ref="L13:U13"/>
    <mergeCell ref="A50:V51"/>
    <mergeCell ref="S54:U54"/>
    <mergeCell ref="A56:F56"/>
    <mergeCell ref="A58:F58"/>
    <mergeCell ref="A8:V11"/>
    <mergeCell ref="B45:U46"/>
    <mergeCell ref="A43:E43"/>
    <mergeCell ref="A54:F54"/>
    <mergeCell ref="H54:M54"/>
    <mergeCell ref="O54:Q54"/>
    <mergeCell ref="H56:M56"/>
    <mergeCell ref="H58:M58"/>
  </mergeCells>
  <hyperlinks>
    <hyperlink ref="B45:U46" r:id="rId1" display="Premere QUI per visualizzare il codice Python utilizzato per l'analisi (file html)" xr:uid="{A654DDF5-9F59-CC4C-881D-8DA009E82E34}"/>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6566C-59B4-AD4F-A0F3-A3929792CB82}">
  <sheetPr codeName="Foglio4"/>
  <dimension ref="A1:AP219"/>
  <sheetViews>
    <sheetView showGridLines="0" topLeftCell="A130" zoomScale="60" zoomScaleNormal="125" workbookViewId="0">
      <selection activeCell="K165" sqref="K165"/>
    </sheetView>
  </sheetViews>
  <sheetFormatPr baseColWidth="10" defaultColWidth="10.83203125" defaultRowHeight="15"/>
  <cols>
    <col min="1" max="1" width="38.5" style="1" customWidth="1"/>
    <col min="2" max="2" width="16.33203125" style="1" customWidth="1"/>
    <col min="3" max="3" width="15.6640625" style="1" customWidth="1"/>
    <col min="4" max="4" width="18.83203125" style="1" customWidth="1"/>
    <col min="5" max="5" width="16.1640625" style="1" customWidth="1"/>
    <col min="6" max="8" width="10.83203125" style="1"/>
    <col min="9" max="9" width="13.33203125" style="1" customWidth="1"/>
    <col min="10" max="10" width="14.1640625" style="1" customWidth="1"/>
    <col min="11" max="11" width="13.6640625" style="1" customWidth="1"/>
    <col min="12" max="16" width="10.83203125" style="1"/>
    <col min="17" max="17" width="12.5" style="1" customWidth="1"/>
    <col min="18" max="18" width="13.1640625" style="1" customWidth="1"/>
    <col min="19" max="19" width="15.5" style="1" customWidth="1"/>
    <col min="20" max="20" width="15" style="1" customWidth="1"/>
    <col min="21" max="21" width="14.5" style="1" customWidth="1"/>
    <col min="22" max="16384" width="10.83203125" style="1"/>
  </cols>
  <sheetData>
    <row r="1" spans="1:24" ht="16">
      <c r="A1" s="37"/>
      <c r="B1" s="37"/>
      <c r="C1" s="37"/>
      <c r="D1" s="37"/>
      <c r="E1" s="37"/>
      <c r="F1" s="37"/>
      <c r="G1" s="38"/>
      <c r="H1" s="38"/>
      <c r="I1" s="38"/>
      <c r="J1" s="38"/>
      <c r="K1" s="38"/>
      <c r="L1" s="38"/>
      <c r="M1" s="38"/>
      <c r="N1" s="38"/>
      <c r="O1" s="38"/>
      <c r="P1" s="38"/>
      <c r="Q1" s="38"/>
      <c r="R1" s="37"/>
      <c r="S1" s="37"/>
      <c r="T1" s="37"/>
      <c r="U1" s="37"/>
      <c r="V1" s="38"/>
      <c r="W1" s="38"/>
      <c r="X1" s="6"/>
    </row>
    <row r="2" spans="1:24" ht="27" thickBot="1">
      <c r="A2" s="37"/>
      <c r="B2" s="37"/>
      <c r="C2" s="37"/>
      <c r="D2" s="332" t="s">
        <v>65</v>
      </c>
      <c r="E2" s="332"/>
      <c r="F2" s="332"/>
      <c r="G2" s="332"/>
      <c r="H2" s="332"/>
      <c r="I2" s="332"/>
      <c r="J2" s="332"/>
      <c r="K2" s="332"/>
      <c r="L2" s="332"/>
      <c r="M2" s="332"/>
      <c r="N2" s="332"/>
      <c r="O2" s="332"/>
      <c r="P2" s="332"/>
      <c r="Q2" s="332"/>
      <c r="R2" s="37"/>
      <c r="S2" s="37"/>
      <c r="T2" s="37"/>
      <c r="U2" s="37"/>
      <c r="V2" s="38"/>
      <c r="W2" s="38"/>
      <c r="X2" s="6"/>
    </row>
    <row r="3" spans="1:24" ht="21">
      <c r="A3" s="37"/>
      <c r="B3" s="37"/>
      <c r="C3" s="37"/>
      <c r="D3" s="339" t="s">
        <v>64</v>
      </c>
      <c r="E3" s="339"/>
      <c r="F3" s="339"/>
      <c r="G3" s="339"/>
      <c r="H3" s="339"/>
      <c r="I3" s="339"/>
      <c r="J3" s="339"/>
      <c r="K3" s="339"/>
      <c r="L3" s="339"/>
      <c r="M3" s="339"/>
      <c r="N3" s="339"/>
      <c r="O3" s="339"/>
      <c r="P3" s="339"/>
      <c r="Q3" s="339"/>
      <c r="R3" s="37"/>
      <c r="S3" s="37"/>
      <c r="T3" s="37"/>
      <c r="U3" s="37"/>
      <c r="V3" s="38"/>
      <c r="W3" s="38"/>
      <c r="X3" s="6"/>
    </row>
    <row r="4" spans="1:24" ht="16">
      <c r="A4" s="37"/>
      <c r="B4" s="37"/>
      <c r="C4" s="37"/>
      <c r="D4" s="37"/>
      <c r="E4" s="37"/>
      <c r="F4" s="37"/>
      <c r="G4" s="37"/>
      <c r="H4" s="37"/>
      <c r="I4" s="37"/>
      <c r="J4" s="37"/>
      <c r="K4" s="37"/>
      <c r="L4" s="37"/>
      <c r="M4" s="37"/>
      <c r="N4" s="37"/>
      <c r="O4" s="37"/>
      <c r="P4" s="37"/>
      <c r="Q4" s="37"/>
      <c r="R4" s="37"/>
      <c r="S4" s="37"/>
      <c r="T4" s="37"/>
      <c r="U4" s="37"/>
      <c r="V4" s="38"/>
      <c r="W4" s="38"/>
      <c r="X4" s="6"/>
    </row>
    <row r="5" spans="1:24">
      <c r="A5" s="38"/>
      <c r="B5" s="38"/>
      <c r="C5" s="38"/>
      <c r="D5" s="38"/>
      <c r="E5" s="38"/>
      <c r="F5" s="38"/>
      <c r="G5" s="38"/>
      <c r="H5" s="38"/>
      <c r="I5" s="38"/>
      <c r="J5" s="38"/>
      <c r="K5" s="38"/>
      <c r="L5" s="38"/>
      <c r="M5" s="38"/>
      <c r="N5" s="38"/>
      <c r="O5" s="38"/>
      <c r="P5" s="38"/>
      <c r="Q5" s="38"/>
      <c r="R5" s="38"/>
      <c r="S5" s="38"/>
      <c r="T5" s="38"/>
      <c r="U5" s="38"/>
      <c r="V5" s="38"/>
      <c r="W5" s="38"/>
      <c r="X5" s="6"/>
    </row>
    <row r="6" spans="1:24" ht="20" customHeight="1">
      <c r="A6" s="36"/>
      <c r="B6" s="36"/>
      <c r="C6" s="36"/>
      <c r="D6" s="36"/>
      <c r="E6" s="36"/>
      <c r="F6" s="36"/>
      <c r="G6" s="36"/>
      <c r="H6" s="36"/>
      <c r="I6" s="36"/>
      <c r="J6" s="36"/>
      <c r="K6" s="36"/>
      <c r="L6" s="36"/>
      <c r="M6" s="36"/>
      <c r="N6" s="36"/>
      <c r="O6" s="36"/>
      <c r="P6" s="36"/>
      <c r="Q6" s="36"/>
      <c r="R6" s="36"/>
      <c r="S6" s="36"/>
      <c r="T6" s="36"/>
      <c r="U6" s="36"/>
      <c r="V6" s="36"/>
      <c r="W6" s="36"/>
      <c r="X6" s="6"/>
    </row>
    <row r="7" spans="1:24" ht="29" customHeight="1" thickBot="1">
      <c r="A7" s="337" t="s">
        <v>66</v>
      </c>
      <c r="B7" s="337"/>
      <c r="C7" s="337"/>
      <c r="D7" s="337"/>
      <c r="E7" s="337"/>
      <c r="F7" s="337"/>
      <c r="G7" s="337"/>
      <c r="H7" s="337"/>
      <c r="I7" s="337"/>
      <c r="J7" s="337"/>
      <c r="K7" s="337"/>
      <c r="L7" s="337"/>
      <c r="M7" s="337"/>
      <c r="N7" s="337"/>
      <c r="O7" s="337"/>
      <c r="P7" s="337"/>
      <c r="Q7" s="337"/>
      <c r="R7" s="337"/>
      <c r="S7" s="337"/>
      <c r="T7" s="337"/>
      <c r="U7" s="337"/>
      <c r="V7" s="337"/>
      <c r="W7" s="338"/>
      <c r="X7" s="6"/>
    </row>
    <row r="8" spans="1:24" ht="20" customHeight="1">
      <c r="A8" s="27"/>
      <c r="B8" s="27"/>
      <c r="C8" s="27"/>
      <c r="D8" s="27"/>
      <c r="E8" s="27"/>
      <c r="F8" s="27"/>
      <c r="G8" s="27"/>
      <c r="H8" s="27"/>
      <c r="I8" s="27"/>
      <c r="J8" s="27"/>
      <c r="K8" s="27"/>
      <c r="L8" s="27"/>
      <c r="M8" s="27"/>
      <c r="N8" s="27"/>
      <c r="O8" s="27"/>
      <c r="P8" s="27"/>
      <c r="Q8" s="27"/>
      <c r="R8" s="27"/>
      <c r="S8" s="27"/>
      <c r="T8" s="27"/>
      <c r="U8" s="27"/>
      <c r="V8" s="27"/>
      <c r="W8" s="27"/>
      <c r="X8" s="6"/>
    </row>
    <row r="9" spans="1:24" ht="20" customHeight="1">
      <c r="A9" s="40"/>
      <c r="B9" s="340"/>
      <c r="C9" s="340"/>
      <c r="D9" s="340"/>
      <c r="E9" s="340"/>
      <c r="F9" s="340"/>
      <c r="G9" s="340"/>
      <c r="H9" s="340"/>
      <c r="I9" s="340"/>
      <c r="J9" s="27"/>
      <c r="Q9" s="27"/>
      <c r="W9" s="27"/>
      <c r="X9" s="6"/>
    </row>
    <row r="10" spans="1:24" ht="20" customHeight="1" thickBot="1">
      <c r="A10" s="27"/>
      <c r="B10" s="27"/>
      <c r="C10" s="27"/>
      <c r="D10" s="346" t="s">
        <v>16</v>
      </c>
      <c r="E10" s="346"/>
      <c r="F10" s="346"/>
      <c r="G10" s="346"/>
      <c r="H10" s="346"/>
      <c r="I10" s="346"/>
      <c r="J10" s="27"/>
      <c r="K10" s="352" t="s">
        <v>17</v>
      </c>
      <c r="L10" s="352"/>
      <c r="M10" s="352"/>
      <c r="N10" s="352"/>
      <c r="O10" s="352"/>
      <c r="P10" s="352"/>
      <c r="Q10" s="352"/>
      <c r="R10" s="27"/>
      <c r="S10" s="27"/>
      <c r="T10" s="27"/>
      <c r="U10" s="27"/>
      <c r="V10" s="27"/>
      <c r="W10" s="27"/>
      <c r="X10" s="6"/>
    </row>
    <row r="11" spans="1:24" ht="20" customHeight="1">
      <c r="A11" s="195"/>
      <c r="B11" s="40"/>
      <c r="C11" s="40"/>
      <c r="D11" s="196"/>
      <c r="E11" s="201"/>
      <c r="F11" s="201"/>
      <c r="G11" s="197"/>
      <c r="I11" s="27"/>
      <c r="J11" s="27"/>
      <c r="K11" s="27"/>
      <c r="L11" s="27"/>
      <c r="M11" s="27"/>
      <c r="N11" s="27"/>
      <c r="O11" s="27"/>
      <c r="P11" s="27"/>
      <c r="Q11" s="27"/>
      <c r="R11" s="27"/>
      <c r="S11" s="27"/>
      <c r="T11" s="27"/>
      <c r="U11" s="27"/>
      <c r="V11" s="27"/>
      <c r="W11" s="27"/>
      <c r="X11" s="6"/>
    </row>
    <row r="12" spans="1:24" ht="20" customHeight="1">
      <c r="A12" s="198"/>
      <c r="B12" s="202"/>
      <c r="C12" s="202"/>
      <c r="D12" s="347" t="s">
        <v>115</v>
      </c>
      <c r="E12" s="325"/>
      <c r="F12" s="325"/>
      <c r="G12" s="325"/>
      <c r="H12" s="325"/>
      <c r="I12" s="348"/>
      <c r="J12" s="27"/>
      <c r="K12" s="364" t="s">
        <v>116</v>
      </c>
      <c r="L12" s="365"/>
      <c r="M12" s="365"/>
      <c r="N12" s="365"/>
      <c r="O12" s="365"/>
      <c r="P12" s="365"/>
      <c r="Q12" s="366"/>
      <c r="W12" s="27"/>
      <c r="X12" s="6"/>
    </row>
    <row r="13" spans="1:24" ht="20" customHeight="1">
      <c r="A13" s="198"/>
      <c r="B13" s="202"/>
      <c r="C13" s="202"/>
      <c r="D13" s="347"/>
      <c r="E13" s="325"/>
      <c r="F13" s="325"/>
      <c r="G13" s="325"/>
      <c r="H13" s="325"/>
      <c r="I13" s="348"/>
      <c r="J13" s="27"/>
      <c r="K13" s="364"/>
      <c r="L13" s="365"/>
      <c r="M13" s="365"/>
      <c r="N13" s="365"/>
      <c r="O13" s="365"/>
      <c r="P13" s="365"/>
      <c r="Q13" s="366"/>
      <c r="W13" s="27"/>
      <c r="X13" s="6"/>
    </row>
    <row r="14" spans="1:24" ht="20" customHeight="1">
      <c r="A14" s="198"/>
      <c r="B14" s="199"/>
      <c r="C14" s="199"/>
      <c r="D14" s="347"/>
      <c r="E14" s="325"/>
      <c r="F14" s="325"/>
      <c r="G14" s="325"/>
      <c r="H14" s="325"/>
      <c r="I14" s="348"/>
      <c r="J14" s="27"/>
      <c r="K14" s="364"/>
      <c r="L14" s="365"/>
      <c r="M14" s="365"/>
      <c r="N14" s="365"/>
      <c r="O14" s="365"/>
      <c r="P14" s="365"/>
      <c r="Q14" s="366"/>
      <c r="W14" s="27"/>
      <c r="X14" s="6"/>
    </row>
    <row r="15" spans="1:24" ht="20" customHeight="1">
      <c r="A15" s="198"/>
      <c r="B15" s="199"/>
      <c r="C15" s="199"/>
      <c r="D15" s="347"/>
      <c r="E15" s="325"/>
      <c r="F15" s="325"/>
      <c r="G15" s="325"/>
      <c r="H15" s="325"/>
      <c r="I15" s="348"/>
      <c r="J15" s="27"/>
      <c r="K15" s="364"/>
      <c r="L15" s="365"/>
      <c r="M15" s="365"/>
      <c r="N15" s="365"/>
      <c r="O15" s="365"/>
      <c r="P15" s="365"/>
      <c r="Q15" s="366"/>
      <c r="W15" s="27"/>
      <c r="X15" s="6"/>
    </row>
    <row r="16" spans="1:24" ht="20" customHeight="1">
      <c r="A16" s="198"/>
      <c r="B16" s="199"/>
      <c r="C16" s="199"/>
      <c r="D16" s="347"/>
      <c r="E16" s="325"/>
      <c r="F16" s="325"/>
      <c r="G16" s="325"/>
      <c r="H16" s="325"/>
      <c r="I16" s="348"/>
      <c r="J16" s="27"/>
      <c r="K16" s="364"/>
      <c r="L16" s="365"/>
      <c r="M16" s="365"/>
      <c r="N16" s="365"/>
      <c r="O16" s="365"/>
      <c r="P16" s="365"/>
      <c r="Q16" s="366"/>
      <c r="W16" s="27"/>
      <c r="X16" s="6"/>
    </row>
    <row r="17" spans="1:24" ht="20" customHeight="1">
      <c r="A17" s="198"/>
      <c r="B17" s="200"/>
      <c r="C17" s="200"/>
      <c r="D17" s="347"/>
      <c r="E17" s="325"/>
      <c r="F17" s="325"/>
      <c r="G17" s="325"/>
      <c r="H17" s="325"/>
      <c r="I17" s="348"/>
      <c r="J17" s="27"/>
      <c r="K17" s="364"/>
      <c r="L17" s="365"/>
      <c r="M17" s="365"/>
      <c r="N17" s="365"/>
      <c r="O17" s="365"/>
      <c r="P17" s="365"/>
      <c r="Q17" s="366"/>
      <c r="W17" s="27"/>
      <c r="X17" s="6"/>
    </row>
    <row r="18" spans="1:24" ht="20" customHeight="1">
      <c r="A18" s="198"/>
      <c r="B18" s="200"/>
      <c r="C18" s="200"/>
      <c r="D18" s="347"/>
      <c r="E18" s="325"/>
      <c r="F18" s="325"/>
      <c r="G18" s="325"/>
      <c r="H18" s="325"/>
      <c r="I18" s="348"/>
      <c r="J18" s="27"/>
      <c r="K18" s="364"/>
      <c r="L18" s="365"/>
      <c r="M18" s="365"/>
      <c r="N18" s="365"/>
      <c r="O18" s="365"/>
      <c r="P18" s="365"/>
      <c r="Q18" s="366"/>
      <c r="W18" s="27"/>
      <c r="X18" s="6"/>
    </row>
    <row r="19" spans="1:24" ht="20" customHeight="1">
      <c r="D19" s="347"/>
      <c r="E19" s="325"/>
      <c r="F19" s="325"/>
      <c r="G19" s="325"/>
      <c r="H19" s="325"/>
      <c r="I19" s="348"/>
      <c r="J19" s="27"/>
      <c r="K19" s="364"/>
      <c r="L19" s="365"/>
      <c r="M19" s="365"/>
      <c r="N19" s="365"/>
      <c r="O19" s="365"/>
      <c r="P19" s="365"/>
      <c r="Q19" s="366"/>
      <c r="W19" s="27"/>
      <c r="X19" s="6"/>
    </row>
    <row r="20" spans="1:24" ht="20" customHeight="1" thickBot="1">
      <c r="D20" s="349"/>
      <c r="E20" s="350"/>
      <c r="F20" s="350"/>
      <c r="G20" s="350"/>
      <c r="H20" s="350"/>
      <c r="I20" s="351"/>
      <c r="J20" s="27"/>
      <c r="K20" s="367"/>
      <c r="L20" s="368"/>
      <c r="M20" s="368"/>
      <c r="N20" s="368"/>
      <c r="O20" s="368"/>
      <c r="P20" s="368"/>
      <c r="Q20" s="369"/>
      <c r="W20" s="27"/>
      <c r="X20" s="6"/>
    </row>
    <row r="21" spans="1:24" ht="20" customHeight="1">
      <c r="A21" s="27"/>
      <c r="B21" s="27"/>
      <c r="C21" s="27"/>
      <c r="D21" s="27"/>
      <c r="E21" s="27"/>
      <c r="F21" s="27"/>
      <c r="G21" s="27"/>
      <c r="H21" s="27"/>
      <c r="I21" s="27"/>
      <c r="J21" s="27"/>
      <c r="K21" s="27"/>
      <c r="L21" s="27"/>
      <c r="M21" s="27"/>
      <c r="N21" s="27"/>
      <c r="O21" s="27"/>
      <c r="P21" s="27"/>
      <c r="Q21" s="27"/>
      <c r="R21" s="27"/>
      <c r="S21" s="27"/>
      <c r="T21" s="27"/>
      <c r="U21" s="27"/>
      <c r="V21" s="27"/>
      <c r="W21" s="27"/>
      <c r="X21" s="6"/>
    </row>
    <row r="22" spans="1:24" ht="20" customHeight="1">
      <c r="A22" s="27"/>
      <c r="B22" s="27"/>
      <c r="C22" s="27"/>
      <c r="D22" s="27"/>
      <c r="E22" s="27"/>
      <c r="F22" s="27"/>
      <c r="G22" s="27"/>
      <c r="H22" s="27"/>
      <c r="I22" s="27"/>
      <c r="J22" s="27"/>
      <c r="K22" s="27"/>
      <c r="L22" s="27"/>
      <c r="M22" s="27"/>
      <c r="N22" s="27"/>
      <c r="O22" s="27"/>
      <c r="P22" s="27"/>
      <c r="Q22" s="27"/>
      <c r="R22" s="27"/>
      <c r="S22" s="27"/>
      <c r="T22" s="27"/>
      <c r="U22" s="27"/>
      <c r="V22" s="27"/>
      <c r="W22" s="27"/>
      <c r="X22" s="6"/>
    </row>
    <row r="23" spans="1:24" ht="10" customHeight="1">
      <c r="A23" s="27"/>
      <c r="B23" s="27"/>
      <c r="C23" s="27"/>
      <c r="D23" s="27"/>
      <c r="E23" s="27"/>
      <c r="F23" s="27"/>
      <c r="G23" s="27"/>
      <c r="H23" s="27"/>
      <c r="I23" s="27"/>
      <c r="J23" s="27"/>
      <c r="K23" s="27"/>
      <c r="L23" s="27"/>
      <c r="M23" s="27"/>
      <c r="N23" s="27"/>
      <c r="O23" s="27"/>
      <c r="P23" s="27"/>
      <c r="Q23" s="27"/>
      <c r="R23" s="27"/>
      <c r="S23" s="27"/>
      <c r="T23" s="27"/>
      <c r="U23" s="27"/>
      <c r="V23" s="27"/>
      <c r="W23" s="27"/>
      <c r="X23" s="6"/>
    </row>
    <row r="24" spans="1:24" ht="29" customHeight="1" thickBot="1">
      <c r="A24" s="337" t="s">
        <v>71</v>
      </c>
      <c r="B24" s="337"/>
      <c r="C24" s="337"/>
      <c r="D24" s="337"/>
      <c r="E24" s="337"/>
      <c r="F24" s="337"/>
      <c r="G24" s="337"/>
      <c r="H24" s="337"/>
      <c r="I24" s="337"/>
      <c r="J24" s="337"/>
      <c r="K24" s="337"/>
      <c r="L24" s="337"/>
      <c r="M24" s="337"/>
      <c r="N24" s="337"/>
      <c r="O24" s="337"/>
      <c r="P24" s="337"/>
      <c r="Q24" s="337"/>
      <c r="R24" s="337"/>
      <c r="S24" s="337"/>
      <c r="T24" s="337"/>
      <c r="U24" s="337"/>
      <c r="V24" s="337"/>
      <c r="W24" s="338"/>
      <c r="X24" s="6"/>
    </row>
    <row r="25" spans="1:24" ht="19" customHeight="1">
      <c r="A25" s="27"/>
      <c r="B25" s="27"/>
      <c r="C25" s="27"/>
      <c r="D25" s="27"/>
      <c r="E25" s="27"/>
      <c r="F25" s="27"/>
      <c r="G25" s="27"/>
      <c r="H25" s="27"/>
      <c r="I25" s="27"/>
      <c r="J25" s="27"/>
      <c r="K25" s="27"/>
      <c r="L25" s="27"/>
      <c r="M25" s="27"/>
      <c r="N25" s="27"/>
      <c r="O25" s="27"/>
      <c r="P25" s="27"/>
      <c r="Q25" s="27"/>
      <c r="R25" s="27"/>
      <c r="S25" s="27"/>
      <c r="T25" s="27"/>
      <c r="U25" s="27"/>
      <c r="V25" s="27"/>
      <c r="W25" s="27"/>
      <c r="X25" s="6"/>
    </row>
    <row r="26" spans="1:24" ht="32" customHeight="1" thickBot="1">
      <c r="A26" s="341" t="s">
        <v>67</v>
      </c>
      <c r="B26" s="341"/>
      <c r="C26" s="341"/>
      <c r="D26" s="341"/>
      <c r="E26" s="341"/>
      <c r="F26" s="341"/>
      <c r="G26" s="341"/>
      <c r="H26" s="341"/>
      <c r="I26" s="341"/>
      <c r="J26" s="27"/>
      <c r="K26" s="341" t="s">
        <v>68</v>
      </c>
      <c r="L26" s="341"/>
      <c r="M26" s="341"/>
      <c r="N26" s="341"/>
      <c r="O26" s="341"/>
      <c r="P26" s="341"/>
      <c r="Q26" s="341"/>
      <c r="R26" s="341"/>
      <c r="S26" s="341"/>
      <c r="T26" s="341"/>
      <c r="U26" s="341"/>
      <c r="V26" s="341"/>
      <c r="W26" s="41"/>
      <c r="X26" s="6"/>
    </row>
    <row r="27" spans="1:24" ht="20" customHeight="1">
      <c r="A27" s="359" t="s">
        <v>117</v>
      </c>
      <c r="B27" s="359"/>
      <c r="C27" s="359"/>
      <c r="D27" s="359"/>
      <c r="E27" s="359"/>
      <c r="F27" s="359"/>
      <c r="G27" s="359"/>
      <c r="H27" s="359"/>
      <c r="I27" s="359"/>
      <c r="J27" s="27"/>
      <c r="K27" s="342" t="s">
        <v>121</v>
      </c>
      <c r="L27" s="342"/>
      <c r="M27" s="342"/>
      <c r="N27" s="342"/>
      <c r="O27" s="342"/>
      <c r="P27" s="342"/>
      <c r="Q27" s="342"/>
      <c r="R27" s="342"/>
      <c r="S27" s="342"/>
      <c r="T27" s="342"/>
      <c r="U27" s="342"/>
      <c r="V27" s="342"/>
      <c r="W27" s="343"/>
      <c r="X27" s="6"/>
    </row>
    <row r="28" spans="1:24" ht="20" customHeight="1">
      <c r="A28" s="359"/>
      <c r="B28" s="359"/>
      <c r="C28" s="359"/>
      <c r="D28" s="359"/>
      <c r="E28" s="359"/>
      <c r="F28" s="359"/>
      <c r="G28" s="359"/>
      <c r="H28" s="359"/>
      <c r="I28" s="359"/>
      <c r="J28" s="27"/>
      <c r="K28" s="342"/>
      <c r="L28" s="342"/>
      <c r="M28" s="342"/>
      <c r="N28" s="342"/>
      <c r="O28" s="342"/>
      <c r="P28" s="342"/>
      <c r="Q28" s="342"/>
      <c r="R28" s="342"/>
      <c r="S28" s="342"/>
      <c r="T28" s="342"/>
      <c r="U28" s="342"/>
      <c r="V28" s="342"/>
      <c r="W28" s="343"/>
      <c r="X28" s="6"/>
    </row>
    <row r="29" spans="1:24" ht="20" customHeight="1">
      <c r="A29" s="359"/>
      <c r="B29" s="359"/>
      <c r="C29" s="359"/>
      <c r="D29" s="359"/>
      <c r="E29" s="359"/>
      <c r="F29" s="359"/>
      <c r="G29" s="359"/>
      <c r="H29" s="359"/>
      <c r="I29" s="359"/>
      <c r="J29" s="27"/>
      <c r="K29" s="342"/>
      <c r="L29" s="342"/>
      <c r="M29" s="342"/>
      <c r="N29" s="342"/>
      <c r="O29" s="342"/>
      <c r="P29" s="342"/>
      <c r="Q29" s="342"/>
      <c r="R29" s="342"/>
      <c r="S29" s="342"/>
      <c r="T29" s="342"/>
      <c r="U29" s="342"/>
      <c r="V29" s="342"/>
      <c r="W29" s="343"/>
      <c r="X29" s="6"/>
    </row>
    <row r="30" spans="1:24" ht="20" customHeight="1">
      <c r="A30" s="359"/>
      <c r="B30" s="359"/>
      <c r="C30" s="359"/>
      <c r="D30" s="359"/>
      <c r="E30" s="359"/>
      <c r="F30" s="359"/>
      <c r="G30" s="359"/>
      <c r="H30" s="359"/>
      <c r="I30" s="359"/>
      <c r="J30" s="27"/>
      <c r="K30" s="342"/>
      <c r="L30" s="342"/>
      <c r="M30" s="342"/>
      <c r="N30" s="342"/>
      <c r="O30" s="342"/>
      <c r="P30" s="342"/>
      <c r="Q30" s="342"/>
      <c r="R30" s="342"/>
      <c r="S30" s="342"/>
      <c r="T30" s="342"/>
      <c r="U30" s="342"/>
      <c r="V30" s="342"/>
      <c r="W30" s="343"/>
      <c r="X30" s="6"/>
    </row>
    <row r="31" spans="1:24" ht="20" customHeight="1" thickBot="1">
      <c r="A31" s="39"/>
      <c r="B31" s="39"/>
      <c r="C31" s="39"/>
      <c r="D31" s="39"/>
      <c r="E31" s="39"/>
      <c r="F31" s="39"/>
      <c r="G31" s="39"/>
      <c r="H31" s="39"/>
      <c r="I31" s="39"/>
      <c r="J31" s="27"/>
      <c r="K31" s="39"/>
      <c r="L31" s="39"/>
      <c r="M31" s="39"/>
      <c r="N31" s="39"/>
      <c r="O31" s="39"/>
      <c r="P31" s="39"/>
      <c r="Q31" s="39"/>
      <c r="R31" s="39"/>
      <c r="S31" s="39"/>
      <c r="T31" s="39"/>
      <c r="U31" s="39"/>
      <c r="V31" s="39"/>
      <c r="W31" s="42"/>
      <c r="X31" s="6"/>
    </row>
    <row r="32" spans="1:24" ht="20" customHeight="1">
      <c r="A32" s="344" t="s">
        <v>118</v>
      </c>
      <c r="B32" s="345"/>
      <c r="C32" s="345"/>
      <c r="D32" s="376" t="s">
        <v>119</v>
      </c>
      <c r="E32" s="353"/>
      <c r="F32" s="353"/>
      <c r="G32" s="353"/>
      <c r="H32" s="353"/>
      <c r="I32" s="353"/>
      <c r="J32" s="27"/>
      <c r="K32" s="353" t="s">
        <v>120</v>
      </c>
      <c r="L32" s="354"/>
      <c r="M32" s="354"/>
      <c r="N32" s="354"/>
      <c r="O32" s="354"/>
      <c r="P32" s="354"/>
      <c r="Q32" s="355"/>
      <c r="R32" s="344" t="s">
        <v>122</v>
      </c>
      <c r="S32" s="345"/>
      <c r="T32" s="345"/>
      <c r="U32" s="345"/>
      <c r="V32" s="345"/>
      <c r="W32" s="356"/>
      <c r="X32" s="6"/>
    </row>
    <row r="33" spans="1:24" ht="20" customHeight="1">
      <c r="A33" s="345"/>
      <c r="B33" s="345"/>
      <c r="C33" s="345"/>
      <c r="D33" s="377"/>
      <c r="E33" s="344"/>
      <c r="F33" s="344"/>
      <c r="G33" s="344"/>
      <c r="H33" s="344"/>
      <c r="I33" s="344"/>
      <c r="J33" s="27"/>
      <c r="K33" s="345"/>
      <c r="L33" s="345"/>
      <c r="M33" s="345"/>
      <c r="N33" s="345"/>
      <c r="O33" s="345"/>
      <c r="P33" s="345"/>
      <c r="Q33" s="356"/>
      <c r="R33" s="345"/>
      <c r="S33" s="345"/>
      <c r="T33" s="345"/>
      <c r="U33" s="345"/>
      <c r="V33" s="345"/>
      <c r="W33" s="356"/>
      <c r="X33" s="6"/>
    </row>
    <row r="34" spans="1:24" ht="20" customHeight="1">
      <c r="A34" s="345"/>
      <c r="B34" s="345"/>
      <c r="C34" s="345"/>
      <c r="D34" s="377"/>
      <c r="E34" s="344"/>
      <c r="F34" s="344"/>
      <c r="G34" s="344"/>
      <c r="H34" s="344"/>
      <c r="I34" s="344"/>
      <c r="J34" s="27"/>
      <c r="K34" s="345"/>
      <c r="L34" s="345"/>
      <c r="M34" s="345"/>
      <c r="N34" s="345"/>
      <c r="O34" s="345"/>
      <c r="P34" s="345"/>
      <c r="Q34" s="356"/>
      <c r="R34" s="345"/>
      <c r="S34" s="345"/>
      <c r="T34" s="345"/>
      <c r="U34" s="345"/>
      <c r="V34" s="345"/>
      <c r="W34" s="356"/>
      <c r="X34" s="6"/>
    </row>
    <row r="35" spans="1:24" ht="20" customHeight="1">
      <c r="A35" s="27"/>
      <c r="B35" s="27"/>
      <c r="C35" s="27"/>
      <c r="D35" s="27"/>
      <c r="E35" s="27"/>
      <c r="F35" s="27"/>
      <c r="G35" s="27"/>
      <c r="H35" s="27"/>
      <c r="I35" s="27"/>
      <c r="J35" s="27"/>
      <c r="K35" s="27"/>
      <c r="L35" s="27"/>
      <c r="M35" s="27"/>
      <c r="N35" s="27"/>
      <c r="O35" s="27"/>
      <c r="P35" s="27"/>
      <c r="Q35" s="27"/>
      <c r="R35" s="27"/>
      <c r="S35" s="27"/>
      <c r="T35" s="27"/>
      <c r="U35" s="27"/>
      <c r="V35" s="27"/>
      <c r="W35" s="27"/>
      <c r="X35" s="6"/>
    </row>
    <row r="36" spans="1:24" ht="20" customHeight="1">
      <c r="A36" s="27"/>
      <c r="B36" s="27"/>
      <c r="C36" s="27"/>
      <c r="D36" s="27"/>
      <c r="E36" s="27"/>
      <c r="F36" s="27"/>
      <c r="G36" s="27"/>
      <c r="H36" s="27"/>
      <c r="I36" s="27"/>
      <c r="J36" s="27"/>
      <c r="K36" s="27"/>
      <c r="L36" s="27"/>
      <c r="M36" s="27"/>
      <c r="N36" s="27"/>
      <c r="O36" s="27"/>
      <c r="P36" s="27"/>
      <c r="Q36" s="27"/>
      <c r="R36" s="27"/>
      <c r="S36" s="27"/>
      <c r="T36" s="27"/>
      <c r="U36" s="27"/>
      <c r="V36" s="27"/>
      <c r="W36" s="27"/>
      <c r="X36" s="6"/>
    </row>
    <row r="37" spans="1:24" ht="33" customHeight="1" thickBot="1">
      <c r="A37" s="341" t="s">
        <v>69</v>
      </c>
      <c r="B37" s="341"/>
      <c r="C37" s="341"/>
      <c r="D37" s="341"/>
      <c r="E37" s="341"/>
      <c r="F37" s="341"/>
      <c r="G37" s="341"/>
      <c r="H37" s="341"/>
      <c r="I37" s="341"/>
      <c r="J37" s="40"/>
      <c r="K37" s="341" t="s">
        <v>70</v>
      </c>
      <c r="L37" s="341"/>
      <c r="M37" s="341"/>
      <c r="N37" s="341"/>
      <c r="O37" s="341"/>
      <c r="P37" s="341"/>
      <c r="Q37" s="341"/>
      <c r="R37" s="341"/>
      <c r="S37" s="341"/>
      <c r="T37" s="341"/>
      <c r="U37" s="341"/>
      <c r="V37" s="341"/>
      <c r="W37" s="41"/>
      <c r="X37" s="6"/>
    </row>
    <row r="38" spans="1:24" ht="20" customHeight="1">
      <c r="A38" s="342" t="s">
        <v>123</v>
      </c>
      <c r="B38" s="342"/>
      <c r="C38" s="342"/>
      <c r="D38" s="342"/>
      <c r="E38" s="342"/>
      <c r="F38" s="342"/>
      <c r="G38" s="342"/>
      <c r="H38" s="342"/>
      <c r="I38" s="342"/>
      <c r="J38" s="27"/>
      <c r="K38" s="342" t="s">
        <v>126</v>
      </c>
      <c r="L38" s="342"/>
      <c r="M38" s="342"/>
      <c r="N38" s="342"/>
      <c r="O38" s="342"/>
      <c r="P38" s="342"/>
      <c r="Q38" s="342"/>
      <c r="R38" s="342"/>
      <c r="S38" s="342"/>
      <c r="T38" s="342"/>
      <c r="U38" s="342"/>
      <c r="V38" s="342"/>
      <c r="W38" s="343"/>
      <c r="X38" s="6"/>
    </row>
    <row r="39" spans="1:24" ht="20" customHeight="1">
      <c r="A39" s="342"/>
      <c r="B39" s="342"/>
      <c r="C39" s="342"/>
      <c r="D39" s="342"/>
      <c r="E39" s="342"/>
      <c r="F39" s="342"/>
      <c r="G39" s="342"/>
      <c r="H39" s="342"/>
      <c r="I39" s="342"/>
      <c r="J39" s="27"/>
      <c r="K39" s="342"/>
      <c r="L39" s="342"/>
      <c r="M39" s="342"/>
      <c r="N39" s="342"/>
      <c r="O39" s="342"/>
      <c r="P39" s="342"/>
      <c r="Q39" s="342"/>
      <c r="R39" s="342"/>
      <c r="S39" s="342"/>
      <c r="T39" s="342"/>
      <c r="U39" s="342"/>
      <c r="V39" s="342"/>
      <c r="W39" s="343"/>
      <c r="X39" s="6"/>
    </row>
    <row r="40" spans="1:24" ht="20" customHeight="1">
      <c r="A40" s="342"/>
      <c r="B40" s="342"/>
      <c r="C40" s="342"/>
      <c r="D40" s="342"/>
      <c r="E40" s="342"/>
      <c r="F40" s="342"/>
      <c r="G40" s="342"/>
      <c r="H40" s="342"/>
      <c r="I40" s="342"/>
      <c r="J40" s="27"/>
      <c r="K40" s="342"/>
      <c r="L40" s="342"/>
      <c r="M40" s="342"/>
      <c r="N40" s="342"/>
      <c r="O40" s="342"/>
      <c r="P40" s="342"/>
      <c r="Q40" s="342"/>
      <c r="R40" s="342"/>
      <c r="S40" s="342"/>
      <c r="T40" s="342"/>
      <c r="U40" s="342"/>
      <c r="V40" s="342"/>
      <c r="W40" s="343"/>
      <c r="X40" s="6"/>
    </row>
    <row r="41" spans="1:24" ht="20" customHeight="1" thickBot="1">
      <c r="A41" s="360"/>
      <c r="B41" s="360"/>
      <c r="C41" s="360"/>
      <c r="D41" s="360"/>
      <c r="E41" s="360"/>
      <c r="F41" s="360"/>
      <c r="G41" s="360"/>
      <c r="H41" s="360"/>
      <c r="I41" s="360"/>
      <c r="J41" s="27"/>
      <c r="K41" s="360"/>
      <c r="L41" s="360"/>
      <c r="M41" s="360"/>
      <c r="N41" s="360"/>
      <c r="O41" s="360"/>
      <c r="P41" s="360"/>
      <c r="Q41" s="360"/>
      <c r="R41" s="360"/>
      <c r="S41" s="360"/>
      <c r="T41" s="360"/>
      <c r="U41" s="360"/>
      <c r="V41" s="360"/>
      <c r="W41" s="361"/>
      <c r="X41" s="6"/>
    </row>
    <row r="42" spans="1:24" ht="20" customHeight="1">
      <c r="A42" s="344" t="s">
        <v>124</v>
      </c>
      <c r="B42" s="345"/>
      <c r="C42" s="356"/>
      <c r="D42" s="344" t="s">
        <v>125</v>
      </c>
      <c r="E42" s="344"/>
      <c r="F42" s="344"/>
      <c r="G42" s="344"/>
      <c r="H42" s="344"/>
      <c r="I42" s="344"/>
      <c r="J42" s="27"/>
      <c r="K42" s="335" t="s">
        <v>127</v>
      </c>
      <c r="L42" s="357"/>
      <c r="M42" s="357"/>
      <c r="N42" s="357"/>
      <c r="O42" s="357"/>
      <c r="P42" s="357"/>
      <c r="Q42" s="358"/>
      <c r="R42" s="335" t="s">
        <v>128</v>
      </c>
      <c r="S42" s="357"/>
      <c r="T42" s="357"/>
      <c r="U42" s="357"/>
      <c r="V42" s="357"/>
      <c r="W42" s="358"/>
      <c r="X42" s="6"/>
    </row>
    <row r="43" spans="1:24" ht="20" customHeight="1">
      <c r="A43" s="345"/>
      <c r="B43" s="345"/>
      <c r="C43" s="356"/>
      <c r="D43" s="344"/>
      <c r="E43" s="344"/>
      <c r="F43" s="344"/>
      <c r="G43" s="344"/>
      <c r="H43" s="344"/>
      <c r="I43" s="344"/>
      <c r="J43" s="27"/>
      <c r="K43" s="357"/>
      <c r="L43" s="357"/>
      <c r="M43" s="357"/>
      <c r="N43" s="357"/>
      <c r="O43" s="357"/>
      <c r="P43" s="357"/>
      <c r="Q43" s="358"/>
      <c r="R43" s="357"/>
      <c r="S43" s="357"/>
      <c r="T43" s="357"/>
      <c r="U43" s="357"/>
      <c r="V43" s="357"/>
      <c r="W43" s="358"/>
      <c r="X43" s="6"/>
    </row>
    <row r="44" spans="1:24" ht="20" customHeight="1">
      <c r="A44" s="345"/>
      <c r="B44" s="345"/>
      <c r="C44" s="356"/>
      <c r="D44" s="344"/>
      <c r="E44" s="344"/>
      <c r="F44" s="344"/>
      <c r="G44" s="344"/>
      <c r="H44" s="344"/>
      <c r="I44" s="344"/>
      <c r="J44" s="27"/>
      <c r="K44" s="357"/>
      <c r="L44" s="357"/>
      <c r="M44" s="357"/>
      <c r="N44" s="357"/>
      <c r="O44" s="357"/>
      <c r="P44" s="357"/>
      <c r="Q44" s="358"/>
      <c r="R44" s="357"/>
      <c r="S44" s="357"/>
      <c r="T44" s="357"/>
      <c r="U44" s="357"/>
      <c r="V44" s="357"/>
      <c r="W44" s="358"/>
      <c r="X44" s="6"/>
    </row>
    <row r="45" spans="1:24" ht="20" customHeight="1">
      <c r="A45" s="238"/>
      <c r="B45" s="238"/>
      <c r="C45" s="238"/>
      <c r="D45" s="237"/>
      <c r="E45" s="237"/>
      <c r="F45" s="237"/>
      <c r="G45" s="237"/>
      <c r="H45" s="237"/>
      <c r="I45" s="237"/>
      <c r="J45" s="27"/>
      <c r="K45" s="239"/>
      <c r="L45" s="239"/>
      <c r="M45" s="239"/>
      <c r="N45" s="239"/>
      <c r="O45" s="239"/>
      <c r="P45" s="239"/>
      <c r="Q45" s="239"/>
      <c r="R45" s="239"/>
      <c r="S45" s="239"/>
      <c r="T45" s="239"/>
      <c r="U45" s="239"/>
      <c r="V45" s="239"/>
      <c r="W45" s="239"/>
      <c r="X45" s="6"/>
    </row>
    <row r="46" spans="1:24" ht="21" thickBot="1">
      <c r="A46" s="83" t="s">
        <v>84</v>
      </c>
      <c r="B46" s="82"/>
      <c r="C46" s="82"/>
      <c r="M46" s="36"/>
      <c r="O46" s="36"/>
      <c r="P46" s="36"/>
      <c r="Q46" s="36"/>
      <c r="R46" s="36"/>
      <c r="S46" s="36"/>
      <c r="T46" s="36"/>
      <c r="U46" s="36"/>
      <c r="V46" s="36"/>
      <c r="W46" s="36"/>
      <c r="X46" s="6"/>
    </row>
    <row r="47" spans="1:24">
      <c r="A47" s="284" t="s">
        <v>223</v>
      </c>
      <c r="B47" s="284"/>
      <c r="C47" s="284"/>
      <c r="D47" s="284"/>
      <c r="E47" s="284"/>
      <c r="F47" s="284"/>
      <c r="G47" s="284"/>
      <c r="H47" s="284"/>
      <c r="I47" s="284"/>
      <c r="J47" s="284"/>
      <c r="K47" s="284"/>
      <c r="L47" s="284"/>
      <c r="X47" s="6"/>
    </row>
    <row r="48" spans="1:24">
      <c r="A48" s="236"/>
      <c r="B48" s="236"/>
      <c r="C48" s="236"/>
      <c r="D48" s="236"/>
      <c r="E48" s="236"/>
      <c r="F48" s="236"/>
      <c r="G48" s="236"/>
      <c r="H48" s="236"/>
      <c r="I48" s="236"/>
      <c r="J48" s="236"/>
      <c r="K48" s="236"/>
      <c r="L48" s="236"/>
      <c r="W48" s="7"/>
    </row>
    <row r="49" spans="1:42" ht="33" customHeight="1" thickBot="1">
      <c r="A49" s="179" t="s">
        <v>18</v>
      </c>
      <c r="B49" s="3"/>
      <c r="C49" s="3"/>
      <c r="D49" s="3"/>
      <c r="E49" s="3"/>
      <c r="F49" s="3"/>
      <c r="G49" s="3"/>
      <c r="H49" s="3"/>
      <c r="I49" s="3"/>
      <c r="J49" s="3"/>
      <c r="K49" s="3"/>
      <c r="L49" s="3"/>
      <c r="M49" s="3"/>
      <c r="N49" s="3"/>
      <c r="O49" s="3"/>
      <c r="P49" s="3"/>
      <c r="Q49" s="3"/>
      <c r="R49" s="3"/>
      <c r="S49" s="3"/>
      <c r="T49" s="3"/>
      <c r="U49" s="3"/>
      <c r="V49" s="3"/>
      <c r="W49" s="17"/>
    </row>
    <row r="50" spans="1:42" ht="21" customHeight="1">
      <c r="A50" s="333" t="s">
        <v>51</v>
      </c>
      <c r="B50" s="333"/>
      <c r="C50" s="333"/>
      <c r="D50" s="333"/>
      <c r="E50" s="333"/>
      <c r="F50" s="333"/>
      <c r="G50" s="333"/>
      <c r="H50" s="333"/>
      <c r="I50" s="333"/>
      <c r="J50" s="333"/>
      <c r="K50" s="333"/>
      <c r="L50" s="333"/>
      <c r="M50" s="333"/>
      <c r="N50" s="333"/>
      <c r="O50" s="333"/>
      <c r="P50" s="333"/>
      <c r="Q50" s="333"/>
      <c r="R50" s="333"/>
      <c r="S50" s="333"/>
      <c r="T50" s="333"/>
      <c r="U50" s="333"/>
      <c r="V50" s="333"/>
      <c r="W50" s="334"/>
    </row>
    <row r="51" spans="1:42" ht="21" customHeight="1">
      <c r="A51" s="335"/>
      <c r="B51" s="335"/>
      <c r="C51" s="335"/>
      <c r="D51" s="335"/>
      <c r="E51" s="335"/>
      <c r="F51" s="335"/>
      <c r="G51" s="335"/>
      <c r="H51" s="335"/>
      <c r="I51" s="335"/>
      <c r="J51" s="335"/>
      <c r="K51" s="335"/>
      <c r="L51" s="335"/>
      <c r="M51" s="335"/>
      <c r="N51" s="335"/>
      <c r="O51" s="335"/>
      <c r="P51" s="335"/>
      <c r="Q51" s="335"/>
      <c r="R51" s="335"/>
      <c r="S51" s="335"/>
      <c r="T51" s="335"/>
      <c r="U51" s="335"/>
      <c r="V51" s="335"/>
      <c r="W51" s="336"/>
    </row>
    <row r="52" spans="1:42">
      <c r="W52" s="7"/>
    </row>
    <row r="53" spans="1:42" ht="30" customHeight="1" thickBot="1">
      <c r="A53" s="168" t="s">
        <v>44</v>
      </c>
      <c r="B53" s="5"/>
      <c r="C53" s="5"/>
      <c r="D53" s="5"/>
      <c r="E53" s="5"/>
      <c r="G53" s="375" t="s">
        <v>19</v>
      </c>
      <c r="H53" s="375"/>
      <c r="I53" s="375"/>
      <c r="J53" s="375"/>
      <c r="K53" s="375"/>
      <c r="L53" s="375"/>
      <c r="M53" s="375"/>
      <c r="N53" s="375"/>
      <c r="O53" s="375"/>
      <c r="P53" s="167"/>
      <c r="Q53" s="375" t="s">
        <v>59</v>
      </c>
      <c r="R53" s="375"/>
      <c r="S53" s="375"/>
      <c r="T53" s="375"/>
      <c r="U53" s="375"/>
      <c r="V53" s="375"/>
      <c r="W53" s="7"/>
    </row>
    <row r="54" spans="1:42" ht="30" customHeight="1">
      <c r="A54" s="169"/>
      <c r="B54" s="18"/>
      <c r="C54" s="18"/>
      <c r="D54" s="18"/>
      <c r="E54" s="18"/>
      <c r="H54" s="169"/>
      <c r="I54" s="167"/>
      <c r="J54" s="167"/>
      <c r="K54" s="167"/>
      <c r="L54" s="167"/>
      <c r="M54" s="167"/>
      <c r="N54" s="167"/>
      <c r="O54" s="167"/>
      <c r="P54" s="167"/>
      <c r="Q54" s="170"/>
      <c r="R54" s="170"/>
      <c r="S54" s="170"/>
      <c r="T54" s="170"/>
      <c r="U54" s="170"/>
      <c r="V54" s="170"/>
      <c r="W54" s="7"/>
    </row>
    <row r="55" spans="1:42" ht="16" customHeight="1">
      <c r="A55" s="18"/>
      <c r="B55" s="209">
        <v>2025</v>
      </c>
      <c r="C55" s="209">
        <v>2026</v>
      </c>
      <c r="D55" s="209">
        <v>2027</v>
      </c>
      <c r="E55" s="209">
        <v>2028</v>
      </c>
      <c r="W55" s="7"/>
      <c r="AC55" s="12" t="s">
        <v>52</v>
      </c>
      <c r="AD55" s="12"/>
      <c r="AE55" s="12"/>
      <c r="AF55" s="12"/>
      <c r="AG55" s="12"/>
      <c r="AH55" s="12"/>
      <c r="AI55" s="12"/>
      <c r="AJ55" s="12"/>
      <c r="AK55" s="12"/>
      <c r="AL55" s="12"/>
      <c r="AM55" s="12"/>
      <c r="AN55" s="12"/>
      <c r="AO55" s="12"/>
      <c r="AP55" s="12"/>
    </row>
    <row r="56" spans="1:42" ht="17" customHeight="1" thickBot="1">
      <c r="A56" s="14" t="s">
        <v>13</v>
      </c>
      <c r="B56" s="210"/>
      <c r="C56" s="211"/>
      <c r="D56" s="211"/>
      <c r="E56" s="211"/>
      <c r="G56" s="363" t="s">
        <v>159</v>
      </c>
      <c r="H56" s="363"/>
      <c r="I56" s="363"/>
      <c r="J56" s="363"/>
      <c r="K56" s="363"/>
      <c r="L56" s="363"/>
      <c r="M56" s="363"/>
      <c r="N56" s="363"/>
      <c r="O56" s="363"/>
      <c r="P56" s="30"/>
      <c r="Q56" s="14" t="s">
        <v>160</v>
      </c>
      <c r="R56" s="33"/>
      <c r="S56" s="33"/>
      <c r="T56" s="33"/>
      <c r="U56" s="33"/>
      <c r="V56" s="187"/>
      <c r="W56" s="7"/>
      <c r="AC56" s="12"/>
      <c r="AD56" s="12"/>
      <c r="AE56" s="12"/>
      <c r="AF56" s="12"/>
      <c r="AG56" s="12"/>
      <c r="AH56" s="12"/>
      <c r="AI56" s="12"/>
      <c r="AJ56" s="12"/>
      <c r="AK56" s="12"/>
      <c r="AL56" s="12"/>
      <c r="AM56" s="12"/>
      <c r="AN56" s="12"/>
      <c r="AO56" s="12"/>
      <c r="AP56" s="12"/>
    </row>
    <row r="57" spans="1:42" ht="16" customHeight="1">
      <c r="A57" s="2" t="s">
        <v>9</v>
      </c>
      <c r="B57" s="208">
        <v>25000</v>
      </c>
      <c r="C57" s="208">
        <v>50000</v>
      </c>
      <c r="D57" s="208">
        <f>C57+ C57*C60</f>
        <v>52500</v>
      </c>
      <c r="E57" s="208">
        <f>D57+ D57*D60</f>
        <v>55125</v>
      </c>
      <c r="G57" s="330" t="s">
        <v>161</v>
      </c>
      <c r="H57" s="330"/>
      <c r="I57" s="330"/>
      <c r="J57" s="330"/>
      <c r="K57" s="330"/>
      <c r="L57" s="330"/>
      <c r="M57" s="330"/>
      <c r="N57" s="330"/>
      <c r="O57" s="330"/>
      <c r="P57" s="30"/>
      <c r="Q57" s="171" t="s">
        <v>60</v>
      </c>
      <c r="R57" s="171"/>
      <c r="S57" s="203" t="s">
        <v>189</v>
      </c>
      <c r="T57" s="203" t="s">
        <v>190</v>
      </c>
      <c r="U57" s="203" t="s">
        <v>191</v>
      </c>
      <c r="V57" s="188" t="s">
        <v>192</v>
      </c>
      <c r="W57" s="7"/>
      <c r="AC57" s="12"/>
      <c r="AD57" s="12"/>
      <c r="AE57" s="12"/>
      <c r="AF57" s="12"/>
      <c r="AG57" s="12"/>
      <c r="AH57" s="12"/>
      <c r="AI57" s="12"/>
      <c r="AJ57" s="12"/>
      <c r="AK57" s="12"/>
      <c r="AL57" s="12"/>
      <c r="AM57" s="12"/>
      <c r="AN57" s="12"/>
      <c r="AO57" s="12"/>
      <c r="AP57" s="12"/>
    </row>
    <row r="58" spans="1:42" ht="16" customHeight="1">
      <c r="A58" s="2" t="s">
        <v>172</v>
      </c>
      <c r="B58" s="208">
        <v>10000</v>
      </c>
      <c r="C58" s="208">
        <v>20000</v>
      </c>
      <c r="D58" s="208">
        <f>C58+ C58*C60</f>
        <v>21000</v>
      </c>
      <c r="E58" s="208">
        <f>D58+ D58*D60</f>
        <v>22050</v>
      </c>
      <c r="G58" s="330"/>
      <c r="H58" s="330"/>
      <c r="I58" s="330"/>
      <c r="J58" s="330"/>
      <c r="K58" s="330"/>
      <c r="L58" s="330"/>
      <c r="M58" s="330"/>
      <c r="N58" s="330"/>
      <c r="O58" s="330"/>
      <c r="P58" s="30"/>
      <c r="Q58" s="2"/>
      <c r="R58" s="31"/>
      <c r="S58" s="31"/>
      <c r="T58" s="31"/>
      <c r="U58" s="31"/>
      <c r="W58" s="7"/>
      <c r="AC58" s="12"/>
      <c r="AD58" s="12"/>
      <c r="AE58" s="12"/>
      <c r="AF58" s="12"/>
      <c r="AG58" s="12"/>
      <c r="AH58" s="12"/>
      <c r="AI58" s="12"/>
      <c r="AJ58" s="12"/>
      <c r="AK58" s="12"/>
      <c r="AL58" s="12"/>
      <c r="AM58" s="12"/>
      <c r="AN58" s="12"/>
      <c r="AO58" s="12"/>
      <c r="AP58" s="12"/>
    </row>
    <row r="59" spans="1:42" ht="16" customHeight="1" thickBot="1">
      <c r="A59" s="2" t="s">
        <v>8</v>
      </c>
      <c r="B59" s="208">
        <v>0</v>
      </c>
      <c r="C59" s="208">
        <v>15000</v>
      </c>
      <c r="D59" s="208">
        <f>C59+ C59*C60</f>
        <v>15750</v>
      </c>
      <c r="E59" s="208">
        <f>D59+ D59*D60</f>
        <v>16537.5</v>
      </c>
      <c r="G59" s="330"/>
      <c r="H59" s="330"/>
      <c r="I59" s="330"/>
      <c r="J59" s="330"/>
      <c r="K59" s="330"/>
      <c r="L59" s="330"/>
      <c r="M59" s="330"/>
      <c r="N59" s="330"/>
      <c r="O59" s="330"/>
      <c r="P59" s="30"/>
      <c r="Q59" s="362" t="s">
        <v>193</v>
      </c>
      <c r="R59" s="362"/>
      <c r="S59" s="31"/>
      <c r="T59" s="31"/>
      <c r="U59" s="31"/>
      <c r="W59" s="7"/>
      <c r="AC59" s="12"/>
      <c r="AD59" s="12"/>
      <c r="AE59" s="12"/>
      <c r="AF59" s="12"/>
      <c r="AG59" s="12"/>
      <c r="AH59" s="12"/>
      <c r="AI59" s="12"/>
      <c r="AJ59" s="12"/>
      <c r="AK59" s="12"/>
      <c r="AL59" s="12"/>
      <c r="AM59" s="12"/>
      <c r="AN59" s="12"/>
      <c r="AO59" s="12"/>
      <c r="AP59" s="12"/>
    </row>
    <row r="60" spans="1:42" ht="16" customHeight="1">
      <c r="A60" s="2" t="s">
        <v>3</v>
      </c>
      <c r="B60" s="212"/>
      <c r="C60" s="21">
        <v>0.05</v>
      </c>
      <c r="D60" s="21">
        <f>C60</f>
        <v>0.05</v>
      </c>
      <c r="E60" s="221"/>
      <c r="G60" s="330"/>
      <c r="H60" s="330"/>
      <c r="I60" s="330"/>
      <c r="J60" s="330"/>
      <c r="K60" s="330"/>
      <c r="L60" s="330"/>
      <c r="M60" s="330"/>
      <c r="N60" s="330"/>
      <c r="O60" s="330"/>
      <c r="P60" s="30"/>
      <c r="Q60" s="326" t="s">
        <v>62</v>
      </c>
      <c r="R60" s="326"/>
      <c r="S60" s="206">
        <v>25000</v>
      </c>
      <c r="T60" s="207">
        <v>10000</v>
      </c>
      <c r="U60" s="207">
        <v>5000</v>
      </c>
      <c r="V60" s="192">
        <v>0.02</v>
      </c>
      <c r="W60" s="7"/>
      <c r="AC60" s="12"/>
      <c r="AD60" s="12"/>
      <c r="AE60" s="12"/>
      <c r="AF60" s="12"/>
      <c r="AG60" s="12"/>
      <c r="AH60" s="12"/>
      <c r="AI60" s="12"/>
      <c r="AJ60" s="12"/>
      <c r="AK60" s="12"/>
      <c r="AL60" s="12"/>
      <c r="AM60" s="12"/>
      <c r="AN60" s="12"/>
      <c r="AO60" s="12"/>
      <c r="AP60" s="12"/>
    </row>
    <row r="61" spans="1:42" ht="16" customHeight="1">
      <c r="A61" s="2"/>
      <c r="B61" s="212"/>
      <c r="C61" s="212"/>
      <c r="D61" s="212"/>
      <c r="E61" s="211"/>
      <c r="G61" s="330"/>
      <c r="H61" s="330"/>
      <c r="I61" s="330"/>
      <c r="J61" s="330"/>
      <c r="K61" s="330"/>
      <c r="L61" s="330"/>
      <c r="M61" s="330"/>
      <c r="N61" s="330"/>
      <c r="O61" s="330"/>
      <c r="P61" s="30"/>
      <c r="Q61" s="327" t="s">
        <v>63</v>
      </c>
      <c r="R61" s="327"/>
      <c r="S61" s="206">
        <v>60000</v>
      </c>
      <c r="T61" s="207">
        <v>30000</v>
      </c>
      <c r="U61" s="207">
        <v>15000</v>
      </c>
      <c r="V61" s="192">
        <v>7.0000000000000007E-2</v>
      </c>
      <c r="W61" s="7"/>
      <c r="AC61" s="12"/>
      <c r="AD61" s="12"/>
      <c r="AE61" s="12"/>
      <c r="AF61" s="12"/>
      <c r="AG61" s="12"/>
      <c r="AH61" s="12"/>
      <c r="AI61" s="12"/>
      <c r="AJ61" s="12"/>
      <c r="AK61" s="12"/>
      <c r="AL61" s="12"/>
      <c r="AM61" s="12"/>
      <c r="AN61" s="12"/>
      <c r="AO61" s="12"/>
      <c r="AP61" s="12"/>
    </row>
    <row r="62" spans="1:42" ht="16" customHeight="1">
      <c r="A62" s="18" t="s">
        <v>7</v>
      </c>
      <c r="B62" s="214">
        <f>B57+B58+B59</f>
        <v>35000</v>
      </c>
      <c r="C62" s="214">
        <f>C57+C58+C59</f>
        <v>85000</v>
      </c>
      <c r="D62" s="214">
        <f>D57+D58+D59</f>
        <v>89250</v>
      </c>
      <c r="E62" s="214">
        <f>E57+E58+E59</f>
        <v>93712.5</v>
      </c>
      <c r="G62" s="330"/>
      <c r="H62" s="330"/>
      <c r="I62" s="330"/>
      <c r="J62" s="330"/>
      <c r="K62" s="330"/>
      <c r="L62" s="330"/>
      <c r="M62" s="330"/>
      <c r="N62" s="330"/>
      <c r="O62" s="330"/>
      <c r="P62" s="30"/>
      <c r="Q62" s="328" t="s">
        <v>61</v>
      </c>
      <c r="R62" s="328"/>
      <c r="S62" s="206">
        <v>45000</v>
      </c>
      <c r="T62" s="207">
        <v>25000</v>
      </c>
      <c r="U62" s="207">
        <v>10000</v>
      </c>
      <c r="V62" s="192">
        <v>0.05</v>
      </c>
      <c r="W62" s="7"/>
      <c r="AC62" s="12"/>
      <c r="AD62" s="12"/>
      <c r="AE62" s="12"/>
      <c r="AF62" s="12"/>
      <c r="AG62" s="12"/>
      <c r="AH62" s="12"/>
      <c r="AI62" s="12"/>
      <c r="AJ62" s="12"/>
      <c r="AK62" s="12"/>
      <c r="AL62" s="12"/>
      <c r="AM62" s="12"/>
      <c r="AN62" s="12"/>
      <c r="AO62" s="12"/>
      <c r="AP62" s="12"/>
    </row>
    <row r="63" spans="1:42" ht="16" customHeight="1">
      <c r="A63" s="18"/>
      <c r="B63" s="215"/>
      <c r="C63" s="215"/>
      <c r="D63" s="215"/>
      <c r="E63" s="211"/>
      <c r="G63" s="330"/>
      <c r="H63" s="330"/>
      <c r="I63" s="330"/>
      <c r="J63" s="330"/>
      <c r="K63" s="330"/>
      <c r="L63" s="330"/>
      <c r="M63" s="330"/>
      <c r="N63" s="330"/>
      <c r="O63" s="330"/>
      <c r="P63" s="30"/>
      <c r="Q63" s="2"/>
      <c r="R63" s="28"/>
      <c r="S63" s="28"/>
      <c r="T63" s="28"/>
      <c r="U63" s="28"/>
      <c r="W63" s="7"/>
      <c r="AC63" s="12"/>
      <c r="AD63" s="12"/>
      <c r="AE63" s="12"/>
      <c r="AF63" s="12"/>
      <c r="AG63" s="12"/>
      <c r="AH63" s="12"/>
      <c r="AI63" s="12"/>
      <c r="AJ63" s="12"/>
      <c r="AK63" s="12"/>
      <c r="AL63" s="12"/>
      <c r="AM63" s="12"/>
      <c r="AN63" s="12"/>
      <c r="AO63" s="12"/>
      <c r="AP63" s="12"/>
    </row>
    <row r="64" spans="1:42" ht="16" customHeight="1">
      <c r="A64" s="2"/>
      <c r="B64" s="208"/>
      <c r="C64" s="208"/>
      <c r="D64" s="208"/>
      <c r="E64" s="211"/>
      <c r="L64" s="30"/>
      <c r="M64" s="30"/>
      <c r="N64" s="30"/>
      <c r="O64" s="30"/>
      <c r="P64" s="30"/>
      <c r="Q64" s="30"/>
      <c r="W64" s="7"/>
      <c r="AC64" s="12"/>
      <c r="AD64" s="12"/>
      <c r="AE64" s="12"/>
      <c r="AF64" s="12"/>
      <c r="AG64" s="12"/>
      <c r="AH64" s="12"/>
      <c r="AI64" s="12"/>
      <c r="AJ64" s="12"/>
      <c r="AK64" s="12"/>
      <c r="AL64" s="12"/>
      <c r="AM64" s="12"/>
      <c r="AN64" s="12"/>
      <c r="AO64" s="12"/>
      <c r="AP64" s="12"/>
    </row>
    <row r="65" spans="1:42" ht="17" customHeight="1" thickBot="1">
      <c r="A65" s="15" t="s">
        <v>12</v>
      </c>
      <c r="B65" s="208"/>
      <c r="C65" s="208"/>
      <c r="D65" s="208"/>
      <c r="E65" s="211"/>
      <c r="L65" s="30"/>
      <c r="M65" s="30"/>
      <c r="N65" s="30"/>
      <c r="O65" s="30"/>
      <c r="P65" s="30"/>
      <c r="Q65" s="30"/>
      <c r="W65" s="7"/>
      <c r="AC65" s="12"/>
      <c r="AD65" s="12"/>
      <c r="AE65" s="12"/>
      <c r="AF65" s="12"/>
      <c r="AG65" s="12"/>
      <c r="AH65" s="12"/>
      <c r="AI65" s="12"/>
      <c r="AJ65" s="12"/>
      <c r="AK65" s="12"/>
      <c r="AL65" s="12"/>
      <c r="AM65" s="12"/>
      <c r="AN65" s="12"/>
      <c r="AO65" s="12"/>
      <c r="AP65" s="12"/>
    </row>
    <row r="66" spans="1:42" ht="16" customHeight="1" thickBot="1">
      <c r="A66" s="2" t="s">
        <v>6</v>
      </c>
      <c r="B66" s="208">
        <v>20000</v>
      </c>
      <c r="C66" s="208">
        <v>30000</v>
      </c>
      <c r="D66" s="208">
        <f>C66+C66*C69</f>
        <v>31500</v>
      </c>
      <c r="E66" s="208">
        <f>D66+D66*D69</f>
        <v>33075</v>
      </c>
      <c r="G66" s="370" t="s">
        <v>163</v>
      </c>
      <c r="H66" s="370"/>
      <c r="I66" s="370"/>
      <c r="J66" s="370"/>
      <c r="K66" s="370"/>
      <c r="L66" s="370"/>
      <c r="M66" s="370"/>
      <c r="N66" s="370"/>
      <c r="O66" s="370"/>
      <c r="P66" s="30"/>
      <c r="Q66" s="172" t="s">
        <v>166</v>
      </c>
      <c r="R66" s="34"/>
      <c r="S66" s="34"/>
      <c r="T66" s="34"/>
      <c r="U66" s="34"/>
      <c r="V66" s="190"/>
      <c r="W66" s="7"/>
      <c r="AC66" s="12"/>
      <c r="AD66" s="12"/>
      <c r="AE66" s="12"/>
      <c r="AF66" s="12"/>
      <c r="AG66" s="12"/>
      <c r="AH66" s="12"/>
      <c r="AI66" s="12"/>
      <c r="AJ66" s="12"/>
      <c r="AK66" s="12"/>
      <c r="AL66" s="12"/>
      <c r="AM66" s="12"/>
      <c r="AN66" s="12"/>
      <c r="AO66" s="12"/>
      <c r="AP66" s="12"/>
    </row>
    <row r="67" spans="1:42" ht="16" customHeight="1">
      <c r="A67" s="2" t="s">
        <v>5</v>
      </c>
      <c r="B67" s="208">
        <v>15000</v>
      </c>
      <c r="C67" s="208">
        <v>30000</v>
      </c>
      <c r="D67" s="208">
        <f>C67+C67*C69</f>
        <v>31500</v>
      </c>
      <c r="E67" s="208">
        <f>D67+D67*D69</f>
        <v>33075</v>
      </c>
      <c r="G67" s="329" t="s">
        <v>162</v>
      </c>
      <c r="H67" s="371"/>
      <c r="I67" s="371"/>
      <c r="J67" s="371"/>
      <c r="K67" s="371"/>
      <c r="L67" s="371"/>
      <c r="M67" s="371"/>
      <c r="N67" s="371"/>
      <c r="O67" s="371"/>
      <c r="P67" s="30"/>
      <c r="Q67" s="158" t="s">
        <v>60</v>
      </c>
      <c r="R67" s="158"/>
      <c r="S67" s="203" t="s">
        <v>195</v>
      </c>
      <c r="T67" s="203" t="s">
        <v>196</v>
      </c>
      <c r="U67" s="203" t="s">
        <v>197</v>
      </c>
      <c r="V67" s="188" t="s">
        <v>192</v>
      </c>
      <c r="W67" s="7"/>
      <c r="AC67" s="12"/>
      <c r="AD67" s="12"/>
      <c r="AE67" s="12"/>
      <c r="AF67" s="12"/>
      <c r="AG67" s="12"/>
      <c r="AH67" s="12"/>
      <c r="AI67" s="12"/>
      <c r="AJ67" s="12"/>
      <c r="AK67" s="12"/>
      <c r="AL67" s="12"/>
      <c r="AM67" s="12"/>
      <c r="AN67" s="12"/>
      <c r="AO67" s="12"/>
      <c r="AP67" s="12"/>
    </row>
    <row r="68" spans="1:42" ht="16" customHeight="1">
      <c r="A68" s="20" t="s">
        <v>4</v>
      </c>
      <c r="B68" s="208">
        <v>10000</v>
      </c>
      <c r="C68" s="208">
        <v>30000</v>
      </c>
      <c r="D68" s="208">
        <f>C68+C68*C69</f>
        <v>31500</v>
      </c>
      <c r="E68" s="208">
        <f>D68+D68*D69</f>
        <v>33075</v>
      </c>
      <c r="G68" s="372"/>
      <c r="H68" s="372"/>
      <c r="I68" s="372"/>
      <c r="J68" s="372"/>
      <c r="K68" s="372"/>
      <c r="L68" s="372"/>
      <c r="M68" s="372"/>
      <c r="N68" s="372"/>
      <c r="O68" s="372"/>
      <c r="P68" s="30"/>
      <c r="Q68" s="2"/>
      <c r="R68" s="31"/>
      <c r="S68" s="31"/>
      <c r="T68" s="31"/>
      <c r="U68" s="31"/>
      <c r="W68" s="7"/>
      <c r="AC68" s="12"/>
      <c r="AD68" s="12"/>
      <c r="AE68" s="12"/>
      <c r="AF68" s="12"/>
      <c r="AG68" s="12"/>
      <c r="AH68" s="12"/>
      <c r="AI68" s="12"/>
      <c r="AJ68" s="12"/>
      <c r="AK68" s="12"/>
      <c r="AL68" s="12"/>
      <c r="AM68" s="12"/>
      <c r="AN68" s="12"/>
      <c r="AO68" s="12"/>
      <c r="AP68" s="12"/>
    </row>
    <row r="69" spans="1:42" ht="16" customHeight="1" thickBot="1">
      <c r="A69" s="20" t="s">
        <v>3</v>
      </c>
      <c r="B69" s="213"/>
      <c r="C69" s="21">
        <v>0.05</v>
      </c>
      <c r="D69" s="21">
        <f>C69</f>
        <v>0.05</v>
      </c>
      <c r="E69" s="211"/>
      <c r="G69" s="372"/>
      <c r="H69" s="372"/>
      <c r="I69" s="372"/>
      <c r="J69" s="372"/>
      <c r="K69" s="372"/>
      <c r="L69" s="372"/>
      <c r="M69" s="372"/>
      <c r="N69" s="372"/>
      <c r="O69" s="372"/>
      <c r="P69" s="30"/>
      <c r="Q69" s="362" t="s">
        <v>193</v>
      </c>
      <c r="R69" s="362"/>
      <c r="S69" s="31"/>
      <c r="T69" s="31"/>
      <c r="U69" s="31"/>
      <c r="W69" s="7"/>
      <c r="AC69" s="12"/>
      <c r="AD69" s="12"/>
      <c r="AE69" s="12"/>
      <c r="AF69" s="12"/>
      <c r="AG69" s="12"/>
      <c r="AH69" s="12"/>
      <c r="AI69" s="12"/>
      <c r="AJ69" s="12"/>
      <c r="AK69" s="12"/>
      <c r="AL69" s="12"/>
      <c r="AM69" s="12"/>
      <c r="AN69" s="12"/>
      <c r="AO69" s="12"/>
      <c r="AP69" s="12"/>
    </row>
    <row r="70" spans="1:42" ht="16" customHeight="1">
      <c r="A70" s="18" t="s">
        <v>2</v>
      </c>
      <c r="B70" s="215">
        <f>SUM(B66:B69)</f>
        <v>45000</v>
      </c>
      <c r="C70" s="215">
        <f t="shared" ref="C70:E70" si="0">SUM(C66:C68)</f>
        <v>90000</v>
      </c>
      <c r="D70" s="215">
        <f t="shared" si="0"/>
        <v>94500</v>
      </c>
      <c r="E70" s="215">
        <f t="shared" si="0"/>
        <v>99225</v>
      </c>
      <c r="G70" s="372"/>
      <c r="H70" s="372"/>
      <c r="I70" s="372"/>
      <c r="J70" s="372"/>
      <c r="K70" s="372"/>
      <c r="L70" s="372"/>
      <c r="M70" s="372"/>
      <c r="N70" s="372"/>
      <c r="O70" s="372"/>
      <c r="P70" s="30"/>
      <c r="Q70" s="326" t="s">
        <v>62</v>
      </c>
      <c r="R70" s="326"/>
      <c r="S70" s="206">
        <v>20000</v>
      </c>
      <c r="T70" s="207">
        <v>16000</v>
      </c>
      <c r="U70" s="207">
        <v>40000</v>
      </c>
      <c r="V70" s="192">
        <v>0.02</v>
      </c>
      <c r="W70" s="7"/>
      <c r="AC70" s="12"/>
      <c r="AD70" s="12"/>
      <c r="AE70" s="12"/>
      <c r="AF70" s="12"/>
      <c r="AG70" s="12"/>
      <c r="AH70" s="12"/>
      <c r="AI70" s="12"/>
      <c r="AJ70" s="12"/>
      <c r="AK70" s="12"/>
      <c r="AL70" s="12"/>
      <c r="AM70" s="12"/>
      <c r="AN70" s="12"/>
      <c r="AO70" s="12"/>
      <c r="AP70" s="12"/>
    </row>
    <row r="71" spans="1:42" ht="16" customHeight="1">
      <c r="A71" s="2" t="s">
        <v>1</v>
      </c>
      <c r="B71" s="208">
        <v>20000</v>
      </c>
      <c r="C71" s="208">
        <v>60000</v>
      </c>
      <c r="D71" s="208">
        <f>C71+C71*C72</f>
        <v>63000</v>
      </c>
      <c r="E71" s="208">
        <f>D71+D71*D72</f>
        <v>66150</v>
      </c>
      <c r="G71" s="372"/>
      <c r="H71" s="372"/>
      <c r="I71" s="372"/>
      <c r="J71" s="372"/>
      <c r="K71" s="372"/>
      <c r="L71" s="372"/>
      <c r="M71" s="372"/>
      <c r="N71" s="372"/>
      <c r="O71" s="372"/>
      <c r="P71" s="29"/>
      <c r="Q71" s="327" t="s">
        <v>63</v>
      </c>
      <c r="R71" s="327"/>
      <c r="S71" s="206">
        <v>60000</v>
      </c>
      <c r="T71" s="207">
        <v>40000</v>
      </c>
      <c r="U71" s="207">
        <v>80000</v>
      </c>
      <c r="V71" s="192">
        <v>7.0000000000000007E-2</v>
      </c>
      <c r="W71" s="7"/>
      <c r="AC71" s="12"/>
      <c r="AD71" s="12"/>
      <c r="AE71" s="12"/>
      <c r="AF71" s="12"/>
      <c r="AG71" s="12"/>
      <c r="AH71" s="12"/>
      <c r="AI71" s="12"/>
      <c r="AJ71" s="12"/>
      <c r="AK71" s="12"/>
      <c r="AL71" s="12"/>
      <c r="AM71" s="12"/>
      <c r="AN71" s="12"/>
      <c r="AO71" s="12"/>
      <c r="AP71" s="12"/>
    </row>
    <row r="72" spans="1:42" ht="16" customHeight="1">
      <c r="A72" s="20" t="s">
        <v>3</v>
      </c>
      <c r="B72" s="213"/>
      <c r="C72" s="21">
        <v>0.05</v>
      </c>
      <c r="D72" s="21">
        <f>C72</f>
        <v>0.05</v>
      </c>
      <c r="E72" s="211"/>
      <c r="G72" s="372"/>
      <c r="H72" s="372"/>
      <c r="I72" s="372"/>
      <c r="J72" s="372"/>
      <c r="K72" s="372"/>
      <c r="L72" s="372"/>
      <c r="M72" s="372"/>
      <c r="N72" s="372"/>
      <c r="O72" s="372"/>
      <c r="P72" s="30"/>
      <c r="Q72" s="328" t="s">
        <v>61</v>
      </c>
      <c r="R72" s="328"/>
      <c r="S72" s="206">
        <v>30000</v>
      </c>
      <c r="T72" s="207">
        <v>30000</v>
      </c>
      <c r="U72" s="207">
        <v>60000</v>
      </c>
      <c r="V72" s="192">
        <v>0.05</v>
      </c>
      <c r="W72" s="7"/>
      <c r="AC72" s="12"/>
      <c r="AD72" s="12"/>
      <c r="AE72" s="12"/>
      <c r="AF72" s="12"/>
      <c r="AG72" s="12"/>
      <c r="AH72" s="12"/>
      <c r="AI72" s="12"/>
      <c r="AJ72" s="12"/>
      <c r="AK72" s="12"/>
      <c r="AL72" s="12"/>
      <c r="AM72" s="12"/>
      <c r="AN72" s="12"/>
      <c r="AO72" s="12"/>
      <c r="AP72" s="12"/>
    </row>
    <row r="73" spans="1:42" ht="16" customHeight="1">
      <c r="A73" s="18" t="s">
        <v>0</v>
      </c>
      <c r="B73" s="215">
        <f>B71</f>
        <v>20000</v>
      </c>
      <c r="C73" s="215">
        <f t="shared" ref="C73:E73" si="1">C71</f>
        <v>60000</v>
      </c>
      <c r="D73" s="215">
        <f t="shared" si="1"/>
        <v>63000</v>
      </c>
      <c r="E73" s="215">
        <f t="shared" si="1"/>
        <v>66150</v>
      </c>
      <c r="G73" s="372"/>
      <c r="H73" s="372"/>
      <c r="I73" s="372"/>
      <c r="J73" s="372"/>
      <c r="K73" s="372"/>
      <c r="L73" s="372"/>
      <c r="M73" s="372"/>
      <c r="N73" s="372"/>
      <c r="O73" s="372"/>
      <c r="P73" s="30"/>
      <c r="Q73" s="30"/>
      <c r="W73" s="7"/>
      <c r="AC73" s="12"/>
      <c r="AD73" s="12"/>
      <c r="AE73" s="12"/>
      <c r="AF73" s="12"/>
      <c r="AG73" s="12"/>
      <c r="AH73" s="12"/>
      <c r="AI73" s="12"/>
      <c r="AJ73" s="12"/>
      <c r="AK73" s="12"/>
      <c r="AL73" s="12"/>
      <c r="AM73" s="12"/>
      <c r="AN73" s="12"/>
      <c r="AO73" s="12"/>
      <c r="AP73" s="12"/>
    </row>
    <row r="74" spans="1:42" ht="16" customHeight="1">
      <c r="A74" s="2"/>
      <c r="B74" s="208"/>
      <c r="C74" s="208"/>
      <c r="D74" s="208"/>
      <c r="E74" s="211"/>
      <c r="G74" s="372"/>
      <c r="H74" s="372"/>
      <c r="I74" s="372"/>
      <c r="J74" s="372"/>
      <c r="K74" s="372"/>
      <c r="L74" s="372"/>
      <c r="M74" s="372"/>
      <c r="N74" s="372"/>
      <c r="O74" s="372"/>
      <c r="P74" s="30"/>
      <c r="Q74" s="30"/>
      <c r="W74" s="7"/>
      <c r="AC74" s="12"/>
      <c r="AD74" s="12"/>
      <c r="AE74" s="12"/>
      <c r="AF74" s="12"/>
      <c r="AG74" s="12"/>
      <c r="AH74" s="12"/>
      <c r="AI74" s="12"/>
      <c r="AJ74" s="12"/>
      <c r="AK74" s="12"/>
      <c r="AL74" s="12"/>
      <c r="AM74" s="12"/>
      <c r="AN74" s="12"/>
      <c r="AO74" s="12"/>
      <c r="AP74" s="12"/>
    </row>
    <row r="75" spans="1:42" ht="16" customHeight="1">
      <c r="A75" s="18" t="s">
        <v>11</v>
      </c>
      <c r="B75" s="214">
        <f>B70+B73</f>
        <v>65000</v>
      </c>
      <c r="C75" s="214">
        <f>C70+C73</f>
        <v>150000</v>
      </c>
      <c r="D75" s="214">
        <f>D70+D73</f>
        <v>157500</v>
      </c>
      <c r="E75" s="214">
        <f>E70+E73</f>
        <v>165375</v>
      </c>
      <c r="G75" s="372"/>
      <c r="H75" s="372"/>
      <c r="I75" s="372"/>
      <c r="J75" s="372"/>
      <c r="K75" s="372"/>
      <c r="L75" s="372"/>
      <c r="M75" s="372"/>
      <c r="N75" s="372"/>
      <c r="O75" s="372"/>
      <c r="P75" s="30"/>
      <c r="Q75" s="30"/>
      <c r="W75" s="7"/>
      <c r="AC75" s="12"/>
      <c r="AD75" s="12"/>
      <c r="AE75" s="12"/>
      <c r="AF75" s="12"/>
      <c r="AG75" s="12"/>
      <c r="AH75" s="12"/>
      <c r="AI75" s="12"/>
      <c r="AJ75" s="12"/>
      <c r="AK75" s="12"/>
      <c r="AL75" s="12"/>
      <c r="AM75" s="12"/>
      <c r="AN75" s="12"/>
      <c r="AO75" s="12"/>
      <c r="AP75" s="12"/>
    </row>
    <row r="76" spans="1:42" ht="16" customHeight="1">
      <c r="A76" s="22"/>
      <c r="B76" s="208"/>
      <c r="C76" s="208"/>
      <c r="D76" s="208"/>
      <c r="E76" s="211"/>
      <c r="G76" s="372"/>
      <c r="H76" s="372"/>
      <c r="I76" s="372"/>
      <c r="J76" s="372"/>
      <c r="K76" s="372"/>
      <c r="L76" s="372"/>
      <c r="M76" s="372"/>
      <c r="N76" s="372"/>
      <c r="O76" s="372"/>
      <c r="P76" s="30"/>
      <c r="Q76" s="30"/>
      <c r="R76" s="2"/>
      <c r="S76" s="28"/>
      <c r="T76" s="28"/>
      <c r="U76" s="28"/>
      <c r="V76" s="28"/>
      <c r="W76" s="7"/>
      <c r="AC76" s="12"/>
      <c r="AD76" s="12"/>
      <c r="AE76" s="12"/>
      <c r="AF76" s="12"/>
      <c r="AG76" s="12"/>
      <c r="AH76" s="12"/>
      <c r="AI76" s="12"/>
      <c r="AJ76" s="12"/>
      <c r="AK76" s="12"/>
      <c r="AL76" s="12"/>
      <c r="AM76" s="12"/>
      <c r="AN76" s="12"/>
      <c r="AO76" s="12"/>
      <c r="AP76" s="12"/>
    </row>
    <row r="77" spans="1:42" ht="16" customHeight="1">
      <c r="A77" s="22"/>
      <c r="B77" s="208"/>
      <c r="C77" s="208"/>
      <c r="D77" s="208"/>
      <c r="E77" s="211"/>
      <c r="L77" s="30"/>
      <c r="M77" s="30"/>
      <c r="N77" s="30"/>
      <c r="O77" s="30"/>
      <c r="P77" s="30"/>
      <c r="Q77" s="30"/>
      <c r="R77" s="2"/>
      <c r="S77" s="28"/>
      <c r="T77" s="28"/>
      <c r="U77" s="28"/>
      <c r="V77" s="28"/>
      <c r="W77" s="7"/>
      <c r="AC77" s="12"/>
      <c r="AD77" s="12"/>
      <c r="AE77" s="12"/>
      <c r="AF77" s="12"/>
      <c r="AG77" s="12"/>
      <c r="AH77" s="12"/>
      <c r="AI77" s="12"/>
      <c r="AJ77" s="12"/>
      <c r="AK77" s="12"/>
      <c r="AL77" s="12"/>
      <c r="AM77" s="12"/>
      <c r="AN77" s="12"/>
      <c r="AO77" s="12"/>
      <c r="AP77" s="12"/>
    </row>
    <row r="78" spans="1:42" ht="17" customHeight="1" thickBot="1">
      <c r="A78" s="16" t="s">
        <v>39</v>
      </c>
      <c r="B78" s="208"/>
      <c r="C78" s="208"/>
      <c r="D78" s="208"/>
      <c r="E78" s="211"/>
      <c r="G78" s="373" t="s">
        <v>165</v>
      </c>
      <c r="H78" s="373"/>
      <c r="I78" s="373"/>
      <c r="J78" s="373"/>
      <c r="K78" s="373"/>
      <c r="L78" s="373"/>
      <c r="M78" s="373"/>
      <c r="N78" s="373"/>
      <c r="O78" s="373"/>
      <c r="P78" s="30"/>
      <c r="Q78" s="173" t="s">
        <v>167</v>
      </c>
      <c r="R78" s="35"/>
      <c r="S78" s="35"/>
      <c r="T78" s="35"/>
      <c r="U78" s="35"/>
      <c r="V78" s="191"/>
      <c r="W78" s="7"/>
      <c r="AC78" s="12"/>
      <c r="AD78" s="12"/>
      <c r="AE78" s="12"/>
      <c r="AF78" s="12"/>
      <c r="AG78" s="12"/>
      <c r="AH78" s="12"/>
      <c r="AI78" s="12"/>
      <c r="AJ78" s="12"/>
      <c r="AK78" s="12"/>
      <c r="AL78" s="12"/>
      <c r="AM78" s="12"/>
      <c r="AN78" s="12"/>
      <c r="AO78" s="12"/>
      <c r="AP78" s="12"/>
    </row>
    <row r="79" spans="1:42" ht="16" customHeight="1">
      <c r="A79" s="23" t="s">
        <v>14</v>
      </c>
      <c r="B79" s="208">
        <v>20000</v>
      </c>
      <c r="C79" s="208">
        <v>40000</v>
      </c>
      <c r="D79" s="208">
        <f>C79+C79*C81</f>
        <v>42000</v>
      </c>
      <c r="E79" s="208">
        <f>D79+D79*D81</f>
        <v>44100</v>
      </c>
      <c r="G79" s="330" t="s">
        <v>164</v>
      </c>
      <c r="H79" s="330"/>
      <c r="I79" s="330"/>
      <c r="J79" s="330"/>
      <c r="K79" s="330"/>
      <c r="L79" s="330"/>
      <c r="M79" s="330"/>
      <c r="N79" s="330"/>
      <c r="O79" s="330"/>
      <c r="P79" s="30"/>
      <c r="Q79" s="158" t="s">
        <v>60</v>
      </c>
      <c r="R79" s="158"/>
      <c r="S79" s="203" t="s">
        <v>198</v>
      </c>
      <c r="T79" s="203" t="s">
        <v>199</v>
      </c>
      <c r="U79" s="19"/>
      <c r="V79" s="188" t="s">
        <v>192</v>
      </c>
      <c r="W79" s="7"/>
      <c r="AC79" s="12"/>
      <c r="AD79" s="12"/>
      <c r="AE79" s="12"/>
      <c r="AF79" s="12"/>
      <c r="AG79" s="12"/>
      <c r="AH79" s="12"/>
      <c r="AI79" s="12"/>
      <c r="AJ79" s="12"/>
      <c r="AK79" s="12"/>
      <c r="AL79" s="12"/>
      <c r="AM79" s="12"/>
      <c r="AN79" s="12"/>
      <c r="AO79" s="12"/>
      <c r="AP79" s="12"/>
    </row>
    <row r="80" spans="1:42" ht="16" customHeight="1">
      <c r="A80" s="23" t="s">
        <v>15</v>
      </c>
      <c r="B80" s="208">
        <v>10000</v>
      </c>
      <c r="C80" s="208">
        <v>25000</v>
      </c>
      <c r="D80" s="208">
        <f>C80+C80*C81</f>
        <v>26250</v>
      </c>
      <c r="E80" s="208">
        <f>D80+D80*D81</f>
        <v>27562.5</v>
      </c>
      <c r="G80" s="330"/>
      <c r="H80" s="330"/>
      <c r="I80" s="330"/>
      <c r="J80" s="330"/>
      <c r="K80" s="330"/>
      <c r="L80" s="330"/>
      <c r="M80" s="330"/>
      <c r="N80" s="330"/>
      <c r="O80" s="330"/>
      <c r="P80" s="30"/>
      <c r="Q80" s="2"/>
      <c r="R80" s="31"/>
      <c r="S80" s="32"/>
      <c r="T80" s="32"/>
      <c r="U80" s="32"/>
      <c r="W80" s="7"/>
      <c r="AC80" s="12"/>
      <c r="AD80" s="12"/>
      <c r="AE80" s="12"/>
      <c r="AF80" s="12"/>
      <c r="AG80" s="12"/>
      <c r="AH80" s="12"/>
      <c r="AI80" s="12"/>
      <c r="AJ80" s="12"/>
      <c r="AK80" s="12"/>
      <c r="AL80" s="12"/>
      <c r="AM80" s="12"/>
      <c r="AN80" s="12"/>
      <c r="AO80" s="12"/>
      <c r="AP80" s="12"/>
    </row>
    <row r="81" spans="1:42" ht="16" customHeight="1" thickBot="1">
      <c r="A81" s="20" t="s">
        <v>3</v>
      </c>
      <c r="B81" s="213"/>
      <c r="C81" s="21">
        <v>0.05</v>
      </c>
      <c r="D81" s="21">
        <f>C81</f>
        <v>0.05</v>
      </c>
      <c r="E81" s="211"/>
      <c r="G81" s="330"/>
      <c r="H81" s="330"/>
      <c r="I81" s="330"/>
      <c r="J81" s="330"/>
      <c r="K81" s="330"/>
      <c r="L81" s="330"/>
      <c r="M81" s="330"/>
      <c r="N81" s="330"/>
      <c r="O81" s="330"/>
      <c r="P81" s="30"/>
      <c r="Q81" s="362" t="s">
        <v>193</v>
      </c>
      <c r="R81" s="362"/>
      <c r="S81" s="31"/>
      <c r="T81" s="31"/>
      <c r="U81" s="31"/>
      <c r="W81" s="7"/>
      <c r="AC81" s="12"/>
      <c r="AD81" s="12"/>
      <c r="AE81" s="12"/>
      <c r="AF81" s="12"/>
      <c r="AG81" s="12"/>
      <c r="AH81" s="12"/>
      <c r="AI81" s="12"/>
      <c r="AJ81" s="12"/>
      <c r="AK81" s="12"/>
      <c r="AL81" s="12"/>
      <c r="AM81" s="12"/>
      <c r="AN81" s="12"/>
      <c r="AO81" s="12"/>
      <c r="AP81" s="12"/>
    </row>
    <row r="82" spans="1:42" ht="15" customHeight="1">
      <c r="B82" s="210"/>
      <c r="C82" s="210"/>
      <c r="D82" s="210"/>
      <c r="E82" s="210"/>
      <c r="G82" s="330"/>
      <c r="H82" s="330"/>
      <c r="I82" s="330"/>
      <c r="J82" s="330"/>
      <c r="K82" s="330"/>
      <c r="L82" s="330"/>
      <c r="M82" s="330"/>
      <c r="N82" s="330"/>
      <c r="O82" s="330"/>
      <c r="Q82" s="326" t="s">
        <v>62</v>
      </c>
      <c r="R82" s="326"/>
      <c r="S82" s="206">
        <v>20000</v>
      </c>
      <c r="T82" s="207">
        <v>12000</v>
      </c>
      <c r="U82" s="189"/>
      <c r="V82" s="192">
        <v>0.02</v>
      </c>
      <c r="W82" s="7"/>
      <c r="AC82" s="12"/>
      <c r="AD82" s="12"/>
      <c r="AE82" s="12"/>
      <c r="AF82" s="12"/>
      <c r="AG82" s="12"/>
      <c r="AH82" s="12"/>
      <c r="AI82" s="12"/>
      <c r="AJ82" s="12"/>
      <c r="AK82" s="12"/>
      <c r="AL82" s="12"/>
      <c r="AM82" s="12"/>
      <c r="AN82" s="12"/>
      <c r="AO82" s="12"/>
      <c r="AP82" s="12"/>
    </row>
    <row r="83" spans="1:42" ht="16" customHeight="1">
      <c r="A83" s="24" t="s">
        <v>10</v>
      </c>
      <c r="B83" s="214">
        <f>B79+B80</f>
        <v>30000</v>
      </c>
      <c r="C83" s="214">
        <f t="shared" ref="C83:D83" si="2">C79+C80</f>
        <v>65000</v>
      </c>
      <c r="D83" s="214">
        <f t="shared" si="2"/>
        <v>68250</v>
      </c>
      <c r="E83" s="214">
        <f t="shared" ref="E83" si="3">E79+E80</f>
        <v>71662.5</v>
      </c>
      <c r="G83" s="330"/>
      <c r="H83" s="330"/>
      <c r="I83" s="330"/>
      <c r="J83" s="330"/>
      <c r="K83" s="330"/>
      <c r="L83" s="330"/>
      <c r="M83" s="330"/>
      <c r="N83" s="330"/>
      <c r="O83" s="330"/>
      <c r="Q83" s="327" t="s">
        <v>63</v>
      </c>
      <c r="R83" s="327"/>
      <c r="S83" s="206">
        <v>60000</v>
      </c>
      <c r="T83" s="207">
        <v>35000</v>
      </c>
      <c r="U83" s="189"/>
      <c r="V83" s="192">
        <v>7.0000000000000007E-2</v>
      </c>
      <c r="W83" s="7"/>
      <c r="AC83" s="12"/>
      <c r="AD83" s="12"/>
      <c r="AE83" s="12"/>
      <c r="AF83" s="12"/>
      <c r="AG83" s="12"/>
      <c r="AH83" s="12"/>
      <c r="AI83" s="12"/>
      <c r="AJ83" s="12"/>
      <c r="AK83" s="12"/>
      <c r="AL83" s="12"/>
      <c r="AM83" s="12"/>
      <c r="AN83" s="12"/>
      <c r="AO83" s="12"/>
      <c r="AP83" s="12"/>
    </row>
    <row r="84" spans="1:42" ht="16" customHeight="1">
      <c r="A84" s="2"/>
      <c r="B84" s="216"/>
      <c r="C84" s="216"/>
      <c r="D84" s="216"/>
      <c r="E84" s="211"/>
      <c r="G84" s="330"/>
      <c r="H84" s="330"/>
      <c r="I84" s="330"/>
      <c r="J84" s="330"/>
      <c r="K84" s="330"/>
      <c r="L84" s="330"/>
      <c r="M84" s="330"/>
      <c r="N84" s="330"/>
      <c r="O84" s="330"/>
      <c r="Q84" s="328" t="s">
        <v>61</v>
      </c>
      <c r="R84" s="328"/>
      <c r="S84" s="206">
        <v>40000</v>
      </c>
      <c r="T84" s="207">
        <v>25000</v>
      </c>
      <c r="U84" s="189"/>
      <c r="V84" s="192">
        <v>0.05</v>
      </c>
      <c r="W84" s="7"/>
      <c r="AC84" s="12"/>
      <c r="AD84" s="12"/>
      <c r="AE84" s="12"/>
      <c r="AF84" s="12"/>
      <c r="AG84" s="12"/>
      <c r="AH84" s="12"/>
      <c r="AI84" s="12"/>
      <c r="AJ84" s="12"/>
      <c r="AK84" s="12"/>
      <c r="AL84" s="12"/>
      <c r="AM84" s="12"/>
      <c r="AN84" s="12"/>
      <c r="AO84" s="12"/>
      <c r="AP84" s="12"/>
    </row>
    <row r="85" spans="1:42" ht="16" customHeight="1">
      <c r="A85" s="25" t="s">
        <v>45</v>
      </c>
      <c r="B85" s="214">
        <f>B62+B75+B83</f>
        <v>130000</v>
      </c>
      <c r="C85" s="214">
        <f>C62+C75+C83</f>
        <v>300000</v>
      </c>
      <c r="D85" s="214">
        <f>D62+D75+D83</f>
        <v>315000</v>
      </c>
      <c r="E85" s="214">
        <f>E62+E75+E83</f>
        <v>330750</v>
      </c>
      <c r="G85" s="330"/>
      <c r="H85" s="330"/>
      <c r="I85" s="330"/>
      <c r="J85" s="330"/>
      <c r="K85" s="330"/>
      <c r="L85" s="330"/>
      <c r="M85" s="330"/>
      <c r="N85" s="330"/>
      <c r="O85" s="330"/>
      <c r="Q85" s="2"/>
      <c r="R85" s="31"/>
      <c r="S85" s="31"/>
      <c r="T85" s="31"/>
      <c r="U85" s="31"/>
      <c r="W85" s="7"/>
      <c r="AC85" s="12"/>
      <c r="AD85" s="12"/>
      <c r="AE85" s="12"/>
      <c r="AF85" s="12"/>
      <c r="AG85" s="12"/>
      <c r="AH85" s="12"/>
      <c r="AI85" s="12"/>
      <c r="AJ85" s="12"/>
      <c r="AK85" s="12"/>
      <c r="AL85" s="12"/>
      <c r="AM85" s="12"/>
      <c r="AN85" s="12"/>
      <c r="AO85" s="12"/>
      <c r="AP85" s="12"/>
    </row>
    <row r="86" spans="1:42" ht="16" customHeight="1">
      <c r="A86" s="2"/>
      <c r="B86" s="216"/>
      <c r="C86" s="216"/>
      <c r="D86" s="216"/>
      <c r="E86" s="211"/>
      <c r="L86" s="30"/>
      <c r="M86" s="30"/>
      <c r="N86" s="30"/>
      <c r="O86" s="30"/>
      <c r="P86" s="30"/>
      <c r="Q86" s="30"/>
      <c r="W86" s="7"/>
      <c r="AC86" s="12"/>
      <c r="AD86" s="12"/>
      <c r="AE86" s="12"/>
      <c r="AF86" s="12"/>
      <c r="AG86" s="12"/>
      <c r="AH86" s="12"/>
      <c r="AI86" s="12"/>
      <c r="AJ86" s="12"/>
      <c r="AK86" s="12"/>
      <c r="AL86" s="12"/>
      <c r="AM86" s="12"/>
      <c r="AN86" s="12"/>
      <c r="AO86" s="12"/>
      <c r="AP86" s="12"/>
    </row>
    <row r="87" spans="1:42" ht="15" customHeight="1" thickBot="1">
      <c r="A87" s="174" t="s">
        <v>40</v>
      </c>
      <c r="B87" s="217"/>
      <c r="C87" s="217"/>
      <c r="D87" s="217"/>
      <c r="E87" s="211"/>
      <c r="G87" s="374" t="s">
        <v>159</v>
      </c>
      <c r="H87" s="374"/>
      <c r="I87" s="374"/>
      <c r="J87" s="374"/>
      <c r="K87" s="374"/>
      <c r="L87" s="374"/>
      <c r="M87" s="374"/>
      <c r="N87" s="374"/>
      <c r="O87" s="374"/>
      <c r="P87" s="30"/>
      <c r="Q87" s="174" t="s">
        <v>40</v>
      </c>
      <c r="R87" s="175"/>
      <c r="S87" s="175"/>
      <c r="T87" s="175"/>
      <c r="U87" s="175"/>
      <c r="V87" s="193"/>
      <c r="W87" s="7"/>
      <c r="AC87" s="12"/>
      <c r="AD87" s="12"/>
      <c r="AE87" s="12"/>
      <c r="AF87" s="12"/>
      <c r="AG87" s="12"/>
      <c r="AH87" s="12"/>
      <c r="AI87" s="12"/>
      <c r="AJ87" s="12"/>
      <c r="AK87" s="12"/>
      <c r="AL87" s="12"/>
      <c r="AM87" s="12"/>
      <c r="AN87" s="12"/>
      <c r="AO87" s="12"/>
      <c r="AP87" s="12"/>
    </row>
    <row r="88" spans="1:42" ht="16" customHeight="1">
      <c r="A88" s="23" t="s">
        <v>49</v>
      </c>
      <c r="B88" s="218">
        <v>75000</v>
      </c>
      <c r="C88" s="218">
        <f>B88-60000</f>
        <v>15000</v>
      </c>
      <c r="D88" s="218"/>
      <c r="E88" s="218"/>
      <c r="G88" s="329" t="s">
        <v>168</v>
      </c>
      <c r="H88" s="329"/>
      <c r="I88" s="329"/>
      <c r="J88" s="329"/>
      <c r="K88" s="329"/>
      <c r="L88" s="329"/>
      <c r="M88" s="329"/>
      <c r="N88" s="329"/>
      <c r="O88" s="329"/>
      <c r="P88" s="30"/>
      <c r="Q88" s="158" t="s">
        <v>60</v>
      </c>
      <c r="R88" s="158"/>
      <c r="S88" s="203" t="s">
        <v>200</v>
      </c>
      <c r="T88" s="203" t="s">
        <v>196</v>
      </c>
      <c r="U88" s="188" t="s">
        <v>201</v>
      </c>
      <c r="V88" s="188" t="s">
        <v>192</v>
      </c>
      <c r="W88" s="7"/>
      <c r="AC88" s="12"/>
      <c r="AD88" s="12"/>
      <c r="AE88" s="12"/>
      <c r="AF88" s="12"/>
      <c r="AG88" s="12"/>
      <c r="AH88" s="12"/>
      <c r="AI88" s="12"/>
      <c r="AJ88" s="12"/>
      <c r="AK88" s="12"/>
      <c r="AL88" s="12"/>
      <c r="AM88" s="12"/>
      <c r="AN88" s="12"/>
      <c r="AO88" s="12"/>
      <c r="AP88" s="12"/>
    </row>
    <row r="89" spans="1:42" ht="16" customHeight="1">
      <c r="A89" s="23" t="s">
        <v>50</v>
      </c>
      <c r="B89" s="218">
        <v>25000</v>
      </c>
      <c r="C89" s="218">
        <f>B89-5000</f>
        <v>20000</v>
      </c>
      <c r="D89" s="218"/>
      <c r="E89" s="218"/>
      <c r="G89" s="330"/>
      <c r="H89" s="330"/>
      <c r="I89" s="330"/>
      <c r="J89" s="330"/>
      <c r="K89" s="330"/>
      <c r="L89" s="330"/>
      <c r="M89" s="330"/>
      <c r="N89" s="330"/>
      <c r="O89" s="330"/>
      <c r="P89" s="30"/>
      <c r="Q89" s="2"/>
      <c r="R89" s="31"/>
      <c r="S89" s="31"/>
      <c r="T89" s="31"/>
      <c r="U89" s="31"/>
      <c r="W89" s="7"/>
      <c r="AC89" s="12"/>
      <c r="AD89" s="12"/>
      <c r="AE89" s="12"/>
      <c r="AF89" s="12"/>
      <c r="AG89" s="12"/>
      <c r="AH89" s="12"/>
      <c r="AI89" s="12"/>
      <c r="AJ89" s="12"/>
      <c r="AK89" s="12"/>
      <c r="AL89" s="12"/>
      <c r="AM89" s="12"/>
      <c r="AN89" s="12"/>
      <c r="AO89" s="12"/>
      <c r="AP89" s="12"/>
    </row>
    <row r="90" spans="1:42" ht="16" customHeight="1" thickBot="1">
      <c r="A90" s="23" t="s">
        <v>47</v>
      </c>
      <c r="B90" s="218">
        <v>35000</v>
      </c>
      <c r="C90" s="218">
        <f>B90-10000</f>
        <v>25000</v>
      </c>
      <c r="D90" s="218"/>
      <c r="E90" s="218"/>
      <c r="G90" s="330"/>
      <c r="H90" s="330"/>
      <c r="I90" s="330"/>
      <c r="J90" s="330"/>
      <c r="K90" s="330"/>
      <c r="L90" s="330"/>
      <c r="M90" s="330"/>
      <c r="N90" s="330"/>
      <c r="O90" s="330"/>
      <c r="P90" s="30"/>
      <c r="Q90" s="362" t="s">
        <v>193</v>
      </c>
      <c r="R90" s="362"/>
      <c r="S90" s="31"/>
      <c r="T90" s="31"/>
      <c r="U90" s="31"/>
      <c r="W90" s="7"/>
      <c r="AC90" s="12"/>
      <c r="AD90" s="12"/>
      <c r="AE90" s="12"/>
      <c r="AF90" s="12"/>
      <c r="AG90" s="12"/>
      <c r="AH90" s="12"/>
      <c r="AI90" s="12"/>
      <c r="AJ90" s="12"/>
      <c r="AK90" s="12"/>
      <c r="AL90" s="12"/>
      <c r="AM90" s="12"/>
      <c r="AN90" s="12"/>
      <c r="AO90" s="12"/>
      <c r="AP90" s="12"/>
    </row>
    <row r="91" spans="1:42" ht="16" customHeight="1">
      <c r="A91" s="23" t="s">
        <v>48</v>
      </c>
      <c r="B91" s="218">
        <v>90000</v>
      </c>
      <c r="C91" s="218">
        <f>B91-25000</f>
        <v>65000</v>
      </c>
      <c r="D91" s="218"/>
      <c r="E91" s="218"/>
      <c r="G91" s="330"/>
      <c r="H91" s="330"/>
      <c r="I91" s="330"/>
      <c r="J91" s="330"/>
      <c r="K91" s="330"/>
      <c r="L91" s="330"/>
      <c r="M91" s="330"/>
      <c r="N91" s="330"/>
      <c r="O91" s="330"/>
      <c r="P91" s="30"/>
      <c r="Q91" s="326" t="s">
        <v>62</v>
      </c>
      <c r="R91" s="326"/>
      <c r="S91" s="206">
        <v>120000</v>
      </c>
      <c r="T91" s="207">
        <v>55000</v>
      </c>
      <c r="U91" s="207">
        <v>140000</v>
      </c>
      <c r="V91" s="192">
        <v>0.02</v>
      </c>
      <c r="W91" s="7"/>
      <c r="AC91" s="12"/>
      <c r="AD91" s="12"/>
      <c r="AE91" s="12"/>
      <c r="AF91" s="12"/>
      <c r="AG91" s="12"/>
      <c r="AH91" s="12"/>
      <c r="AI91" s="12"/>
      <c r="AJ91" s="12"/>
      <c r="AK91" s="12"/>
      <c r="AL91" s="12"/>
      <c r="AM91" s="12"/>
      <c r="AN91" s="12"/>
      <c r="AO91" s="12"/>
      <c r="AP91" s="12"/>
    </row>
    <row r="92" spans="1:42" ht="16" customHeight="1">
      <c r="A92" s="18"/>
      <c r="B92" s="219"/>
      <c r="C92" s="219"/>
      <c r="D92" s="219"/>
      <c r="E92" s="211"/>
      <c r="G92" s="330"/>
      <c r="H92" s="330"/>
      <c r="I92" s="330"/>
      <c r="J92" s="330"/>
      <c r="K92" s="330"/>
      <c r="L92" s="330"/>
      <c r="M92" s="330"/>
      <c r="N92" s="330"/>
      <c r="O92" s="330"/>
      <c r="P92" s="30"/>
      <c r="Q92" s="327" t="s">
        <v>63</v>
      </c>
      <c r="R92" s="327"/>
      <c r="S92" s="206">
        <v>60000</v>
      </c>
      <c r="T92" s="207">
        <v>25000</v>
      </c>
      <c r="U92" s="207">
        <v>85000</v>
      </c>
      <c r="V92" s="192">
        <v>7.0000000000000007E-2</v>
      </c>
      <c r="W92" s="7"/>
      <c r="AC92" s="12"/>
      <c r="AD92" s="12"/>
      <c r="AE92" s="12"/>
      <c r="AF92" s="12"/>
      <c r="AG92" s="12"/>
      <c r="AH92" s="12"/>
      <c r="AI92" s="12"/>
      <c r="AJ92" s="12"/>
      <c r="AK92" s="12"/>
      <c r="AL92" s="12"/>
      <c r="AM92" s="12"/>
      <c r="AN92" s="12"/>
      <c r="AO92" s="12"/>
      <c r="AP92" s="12"/>
    </row>
    <row r="93" spans="1:42" ht="16" customHeight="1">
      <c r="A93" s="25" t="s">
        <v>46</v>
      </c>
      <c r="B93" s="214">
        <f>SUM(B88:B91)</f>
        <v>225000</v>
      </c>
      <c r="C93" s="214">
        <f>SUM(C88:C91)</f>
        <v>125000</v>
      </c>
      <c r="D93" s="214"/>
      <c r="E93" s="214"/>
      <c r="G93" s="330"/>
      <c r="H93" s="330"/>
      <c r="I93" s="330"/>
      <c r="J93" s="330"/>
      <c r="K93" s="330"/>
      <c r="L93" s="330"/>
      <c r="M93" s="330"/>
      <c r="N93" s="330"/>
      <c r="O93" s="330"/>
      <c r="P93" s="30"/>
      <c r="Q93" s="328" t="s">
        <v>61</v>
      </c>
      <c r="R93" s="328"/>
      <c r="S93" s="206">
        <v>90000</v>
      </c>
      <c r="T93" s="207">
        <v>35000</v>
      </c>
      <c r="U93" s="207">
        <v>110000</v>
      </c>
      <c r="V93" s="192">
        <v>0.05</v>
      </c>
      <c r="W93" s="7"/>
      <c r="AC93" s="12"/>
      <c r="AD93" s="12"/>
      <c r="AE93" s="12"/>
      <c r="AF93" s="12"/>
      <c r="AG93" s="12"/>
      <c r="AH93" s="12"/>
      <c r="AI93" s="12"/>
      <c r="AJ93" s="12"/>
      <c r="AK93" s="12"/>
      <c r="AL93" s="12"/>
      <c r="AM93" s="12"/>
      <c r="AN93" s="12"/>
      <c r="AO93" s="12"/>
      <c r="AP93" s="12"/>
    </row>
    <row r="94" spans="1:42" ht="15" customHeight="1">
      <c r="B94" s="210"/>
      <c r="C94" s="210"/>
      <c r="D94" s="210"/>
      <c r="E94" s="211"/>
      <c r="G94" s="176"/>
      <c r="H94" s="176"/>
      <c r="I94" s="176"/>
      <c r="J94" s="176"/>
      <c r="K94" s="176"/>
      <c r="L94" s="176"/>
      <c r="M94" s="176"/>
      <c r="N94" s="176"/>
      <c r="O94" s="176"/>
      <c r="P94" s="30"/>
      <c r="Q94" s="30"/>
      <c r="W94" s="7"/>
      <c r="AC94" s="12"/>
      <c r="AD94" s="12"/>
      <c r="AE94" s="12"/>
      <c r="AF94" s="12"/>
      <c r="AG94" s="12"/>
      <c r="AH94" s="12"/>
      <c r="AI94" s="12"/>
      <c r="AJ94" s="12"/>
      <c r="AK94" s="12"/>
      <c r="AL94" s="12"/>
      <c r="AM94" s="12"/>
      <c r="AN94" s="12"/>
      <c r="AO94" s="12"/>
      <c r="AP94" s="12"/>
    </row>
    <row r="95" spans="1:42" ht="16" customHeight="1" thickBot="1">
      <c r="A95" s="11" t="s">
        <v>41</v>
      </c>
      <c r="B95" s="205">
        <f>B85-B93</f>
        <v>-95000</v>
      </c>
      <c r="C95" s="205">
        <f t="shared" ref="C95:D95" si="4">C85-C93</f>
        <v>175000</v>
      </c>
      <c r="D95" s="205">
        <f t="shared" si="4"/>
        <v>315000</v>
      </c>
      <c r="E95" s="205">
        <f>E85-E93</f>
        <v>330750</v>
      </c>
      <c r="G95" s="331" t="s">
        <v>169</v>
      </c>
      <c r="H95" s="331"/>
      <c r="I95" s="331"/>
      <c r="J95" s="331"/>
      <c r="K95" s="331"/>
      <c r="L95" s="331"/>
      <c r="M95" s="331"/>
      <c r="N95" s="331"/>
      <c r="O95" s="331"/>
      <c r="X95" s="6"/>
      <c r="AC95" s="12"/>
      <c r="AD95" s="12"/>
      <c r="AE95" s="12"/>
      <c r="AF95" s="12"/>
      <c r="AG95" s="12"/>
      <c r="AH95" s="12"/>
      <c r="AI95" s="12"/>
      <c r="AJ95" s="12"/>
      <c r="AK95" s="12"/>
      <c r="AL95" s="12"/>
      <c r="AM95" s="12"/>
      <c r="AN95" s="12"/>
      <c r="AO95" s="12"/>
      <c r="AP95" s="12"/>
    </row>
    <row r="96" spans="1:42" ht="16" customHeight="1">
      <c r="A96" s="1" t="s">
        <v>42</v>
      </c>
      <c r="B96" s="250">
        <v>0.25</v>
      </c>
      <c r="C96" s="222">
        <v>0.25</v>
      </c>
      <c r="D96" s="222">
        <v>0.25</v>
      </c>
      <c r="E96" s="222">
        <v>0.25</v>
      </c>
      <c r="G96" s="20" t="s">
        <v>170</v>
      </c>
      <c r="H96" s="20"/>
      <c r="I96" s="20"/>
      <c r="J96" s="20"/>
      <c r="K96" s="20"/>
      <c r="L96" s="20"/>
      <c r="M96" s="20"/>
      <c r="N96" s="20"/>
      <c r="O96" s="20"/>
      <c r="X96" s="6"/>
      <c r="AC96" s="12"/>
      <c r="AD96" s="12"/>
      <c r="AE96" s="12"/>
      <c r="AF96" s="12"/>
      <c r="AG96" s="12"/>
      <c r="AH96" s="12"/>
      <c r="AI96" s="12"/>
      <c r="AJ96" s="12"/>
      <c r="AK96" s="12"/>
      <c r="AL96" s="12"/>
      <c r="AM96" s="12"/>
      <c r="AN96" s="12"/>
      <c r="AO96" s="12"/>
      <c r="AP96" s="12"/>
    </row>
    <row r="97" spans="1:42" ht="16" customHeight="1">
      <c r="A97" s="1" t="s">
        <v>53</v>
      </c>
      <c r="B97" s="220">
        <f>B95*B96</f>
        <v>-23750</v>
      </c>
      <c r="C97" s="220">
        <f>C95*C96</f>
        <v>43750</v>
      </c>
      <c r="D97" s="220">
        <f>D95*D96</f>
        <v>78750</v>
      </c>
      <c r="E97" s="220">
        <f>E95*E96</f>
        <v>82687.5</v>
      </c>
      <c r="G97" s="20"/>
      <c r="H97" s="20"/>
      <c r="I97" s="20"/>
      <c r="J97" s="20"/>
      <c r="K97" s="20"/>
      <c r="L97" s="20"/>
      <c r="M97" s="20"/>
      <c r="N97" s="20"/>
      <c r="O97" s="20"/>
      <c r="X97" s="6"/>
      <c r="AC97" s="12"/>
      <c r="AD97" s="12"/>
      <c r="AE97" s="12"/>
      <c r="AF97" s="12"/>
      <c r="AG97" s="12"/>
      <c r="AH97" s="12"/>
      <c r="AI97" s="12"/>
      <c r="AJ97" s="12"/>
      <c r="AK97" s="12"/>
      <c r="AL97" s="12"/>
      <c r="AM97" s="12"/>
      <c r="AN97" s="12"/>
      <c r="AO97" s="12"/>
      <c r="AP97" s="12"/>
    </row>
    <row r="98" spans="1:42" ht="16" customHeight="1">
      <c r="B98" s="220"/>
      <c r="C98" s="220"/>
      <c r="D98" s="220"/>
      <c r="E98" s="211"/>
      <c r="G98" s="20"/>
      <c r="H98" s="20"/>
      <c r="I98" s="20"/>
      <c r="J98" s="20"/>
      <c r="K98" s="20"/>
      <c r="L98" s="20"/>
      <c r="M98" s="20"/>
      <c r="N98" s="20"/>
      <c r="O98" s="20"/>
      <c r="X98" s="6"/>
      <c r="AC98" s="12"/>
      <c r="AD98" s="12"/>
      <c r="AE98" s="12"/>
      <c r="AF98" s="12"/>
      <c r="AG98" s="12"/>
      <c r="AH98" s="12"/>
      <c r="AI98" s="12"/>
      <c r="AJ98" s="12"/>
      <c r="AK98" s="12"/>
      <c r="AL98" s="12"/>
      <c r="AM98" s="12"/>
      <c r="AN98" s="12"/>
      <c r="AO98" s="12"/>
      <c r="AP98" s="12"/>
    </row>
    <row r="99" spans="1:42" ht="25" customHeight="1">
      <c r="A99" s="11" t="s">
        <v>43</v>
      </c>
      <c r="B99" s="204">
        <f>B95-B97</f>
        <v>-71250</v>
      </c>
      <c r="C99" s="205">
        <f>C95-C97</f>
        <v>131250</v>
      </c>
      <c r="D99" s="205">
        <f t="shared" ref="D99:E99" si="5">D95-D97</f>
        <v>236250</v>
      </c>
      <c r="E99" s="205">
        <f t="shared" si="5"/>
        <v>248062.5</v>
      </c>
      <c r="G99" s="20"/>
      <c r="H99" s="20"/>
      <c r="I99" s="20"/>
      <c r="J99" s="20"/>
      <c r="K99" s="20"/>
      <c r="L99" s="20"/>
      <c r="M99" s="20"/>
      <c r="N99" s="20"/>
      <c r="O99" s="20"/>
      <c r="X99" s="6"/>
      <c r="AC99" s="12"/>
      <c r="AD99" s="12"/>
      <c r="AE99" s="12"/>
      <c r="AF99" s="12"/>
      <c r="AG99" s="12"/>
      <c r="AH99" s="12"/>
      <c r="AI99" s="12"/>
      <c r="AJ99" s="12"/>
      <c r="AK99" s="12"/>
      <c r="AL99" s="12"/>
      <c r="AM99" s="12"/>
      <c r="AN99" s="12"/>
      <c r="AO99" s="12"/>
      <c r="AP99" s="12"/>
    </row>
    <row r="100" spans="1:42" ht="16" customHeight="1">
      <c r="A100" s="18"/>
      <c r="C100" s="45"/>
      <c r="D100" s="45"/>
      <c r="E100" s="45"/>
      <c r="X100" s="6"/>
      <c r="AC100" s="12"/>
      <c r="AD100" s="12"/>
      <c r="AE100" s="12"/>
      <c r="AF100" s="12"/>
      <c r="AG100" s="12"/>
      <c r="AH100" s="12"/>
      <c r="AI100" s="12"/>
      <c r="AJ100" s="12"/>
      <c r="AK100" s="12"/>
      <c r="AL100" s="12"/>
      <c r="AM100" s="12"/>
      <c r="AN100" s="12"/>
      <c r="AO100" s="12"/>
      <c r="AP100" s="12"/>
    </row>
    <row r="101" spans="1:42" ht="15" customHeight="1">
      <c r="X101" s="6"/>
      <c r="AC101" s="12"/>
      <c r="AD101" s="12"/>
      <c r="AE101" s="12"/>
      <c r="AF101" s="12"/>
      <c r="AG101" s="12"/>
      <c r="AH101" s="12"/>
      <c r="AI101" s="12"/>
      <c r="AJ101" s="12"/>
      <c r="AK101" s="12"/>
      <c r="AL101" s="12"/>
      <c r="AM101" s="12"/>
      <c r="AN101" s="12"/>
      <c r="AO101" s="12"/>
      <c r="AP101" s="12"/>
    </row>
    <row r="102" spans="1:42" ht="34" customHeight="1" thickBot="1">
      <c r="A102" s="179" t="s">
        <v>188</v>
      </c>
      <c r="B102" s="3"/>
      <c r="C102" s="3"/>
      <c r="D102" s="3"/>
      <c r="E102" s="3"/>
      <c r="F102" s="3"/>
      <c r="G102" s="3"/>
      <c r="H102" s="3"/>
      <c r="I102" s="3"/>
      <c r="J102" s="3"/>
      <c r="K102" s="3"/>
      <c r="L102" s="3"/>
      <c r="M102" s="3"/>
      <c r="N102" s="3"/>
      <c r="O102" s="3"/>
      <c r="P102" s="3"/>
      <c r="Q102" s="3"/>
      <c r="R102" s="3"/>
      <c r="S102" s="3"/>
      <c r="T102" s="3"/>
      <c r="U102" s="3"/>
      <c r="V102" s="3"/>
      <c r="W102" s="3"/>
      <c r="X102" s="6"/>
      <c r="AC102" s="12"/>
      <c r="AD102" s="12"/>
      <c r="AE102" s="12"/>
      <c r="AF102" s="12"/>
      <c r="AG102" s="12"/>
      <c r="AH102" s="12"/>
      <c r="AI102" s="12"/>
      <c r="AJ102" s="12"/>
      <c r="AK102" s="12"/>
      <c r="AL102" s="12"/>
      <c r="AM102" s="12"/>
      <c r="AN102" s="12"/>
      <c r="AO102" s="12"/>
      <c r="AP102" s="12"/>
    </row>
    <row r="103" spans="1:42" ht="17" customHeight="1">
      <c r="X103" s="6"/>
      <c r="AC103" s="12"/>
      <c r="AD103" s="12"/>
      <c r="AE103" s="12"/>
      <c r="AF103" s="12"/>
      <c r="AG103" s="12"/>
      <c r="AH103" s="12"/>
      <c r="AI103" s="12"/>
      <c r="AJ103" s="12"/>
      <c r="AK103" s="12"/>
      <c r="AL103" s="12"/>
      <c r="AM103" s="12"/>
      <c r="AN103" s="12"/>
      <c r="AO103" s="12"/>
      <c r="AP103" s="12"/>
    </row>
    <row r="104" spans="1:42" ht="15" customHeight="1">
      <c r="E104" s="177"/>
      <c r="F104" s="8"/>
      <c r="G104" s="8"/>
      <c r="H104" s="8"/>
      <c r="I104" s="8"/>
      <c r="J104" s="8"/>
      <c r="K104" s="8"/>
      <c r="L104" s="8"/>
      <c r="M104" s="8"/>
      <c r="N104" s="8"/>
      <c r="O104" s="8"/>
      <c r="P104" s="8"/>
      <c r="Q104" s="8"/>
      <c r="X104" s="43"/>
      <c r="Y104" s="12"/>
      <c r="Z104" s="12"/>
      <c r="AA104" s="12"/>
      <c r="AB104" s="12"/>
      <c r="AC104" s="12"/>
      <c r="AD104" s="12"/>
      <c r="AE104" s="12"/>
      <c r="AF104" s="12"/>
      <c r="AG104" s="12"/>
      <c r="AH104" s="12"/>
      <c r="AI104" s="12"/>
      <c r="AJ104" s="12"/>
      <c r="AK104" s="12"/>
    </row>
    <row r="105" spans="1:42" ht="21" customHeight="1">
      <c r="A105" s="186"/>
      <c r="B105" s="4"/>
      <c r="C105" s="4"/>
      <c r="D105" s="4"/>
      <c r="E105" s="325" t="s">
        <v>218</v>
      </c>
      <c r="F105" s="325"/>
      <c r="G105" s="325"/>
      <c r="H105" s="325"/>
      <c r="I105" s="325"/>
      <c r="J105" s="325"/>
      <c r="K105" s="325"/>
      <c r="L105" s="325"/>
      <c r="M105" s="325"/>
      <c r="N105" s="325"/>
      <c r="O105" s="325"/>
      <c r="P105" s="325"/>
      <c r="X105" s="43"/>
      <c r="Y105" s="12"/>
      <c r="Z105" s="12"/>
      <c r="AA105" s="12"/>
      <c r="AB105" s="12"/>
      <c r="AC105" s="12"/>
      <c r="AD105" s="12"/>
      <c r="AE105" s="12"/>
      <c r="AF105" s="12"/>
      <c r="AG105" s="12"/>
      <c r="AH105" s="12"/>
      <c r="AI105" s="12"/>
      <c r="AJ105" s="12"/>
      <c r="AK105" s="12"/>
    </row>
    <row r="106" spans="1:42" ht="15" customHeight="1">
      <c r="A106" s="4"/>
      <c r="B106" s="4"/>
      <c r="C106" s="4"/>
      <c r="D106" s="4"/>
      <c r="E106" s="325"/>
      <c r="F106" s="325"/>
      <c r="G106" s="325"/>
      <c r="H106" s="325"/>
      <c r="I106" s="325"/>
      <c r="J106" s="325"/>
      <c r="K106" s="325"/>
      <c r="L106" s="325"/>
      <c r="M106" s="325"/>
      <c r="N106" s="325"/>
      <c r="O106" s="325"/>
      <c r="P106" s="325"/>
      <c r="X106" s="6"/>
      <c r="AJ106" s="12"/>
      <c r="AK106" s="12"/>
    </row>
    <row r="107" spans="1:42" ht="15" customHeight="1">
      <c r="A107" s="4"/>
      <c r="B107" s="4"/>
      <c r="C107" s="4"/>
      <c r="D107" s="4"/>
      <c r="E107" s="325"/>
      <c r="F107" s="325"/>
      <c r="G107" s="325"/>
      <c r="H107" s="325"/>
      <c r="I107" s="325"/>
      <c r="J107" s="325"/>
      <c r="K107" s="325"/>
      <c r="L107" s="325"/>
      <c r="M107" s="325"/>
      <c r="N107" s="325"/>
      <c r="O107" s="325"/>
      <c r="P107" s="325"/>
      <c r="X107" s="6"/>
      <c r="AJ107" s="12"/>
      <c r="AK107" s="12"/>
    </row>
    <row r="108" spans="1:42" ht="15" customHeight="1">
      <c r="A108" s="153"/>
      <c r="B108" s="153"/>
      <c r="C108" s="153"/>
      <c r="D108" s="153"/>
      <c r="E108" s="325"/>
      <c r="F108" s="325"/>
      <c r="G108" s="325"/>
      <c r="H108" s="325"/>
      <c r="I108" s="325"/>
      <c r="J108" s="325"/>
      <c r="K108" s="325"/>
      <c r="L108" s="325"/>
      <c r="M108" s="325"/>
      <c r="N108" s="325"/>
      <c r="O108" s="325"/>
      <c r="P108" s="325"/>
      <c r="X108" s="6"/>
      <c r="AJ108" s="12"/>
      <c r="AK108" s="12"/>
    </row>
    <row r="109" spans="1:42" ht="15" customHeight="1">
      <c r="A109" s="153"/>
      <c r="B109" s="153"/>
      <c r="C109" s="153"/>
      <c r="D109" s="153"/>
      <c r="E109" s="325"/>
      <c r="F109" s="325"/>
      <c r="G109" s="325"/>
      <c r="H109" s="325"/>
      <c r="I109" s="325"/>
      <c r="J109" s="325"/>
      <c r="K109" s="325"/>
      <c r="L109" s="325"/>
      <c r="M109" s="325"/>
      <c r="N109" s="325"/>
      <c r="O109" s="325"/>
      <c r="P109" s="325"/>
      <c r="X109" s="6"/>
      <c r="AJ109" s="12"/>
      <c r="AK109" s="12"/>
    </row>
    <row r="110" spans="1:42" ht="17" customHeight="1">
      <c r="A110" s="153"/>
      <c r="B110" s="153"/>
      <c r="C110" s="153"/>
      <c r="D110" s="153"/>
      <c r="E110" s="325"/>
      <c r="F110" s="325"/>
      <c r="G110" s="325"/>
      <c r="H110" s="325"/>
      <c r="I110" s="325"/>
      <c r="J110" s="325"/>
      <c r="K110" s="325"/>
      <c r="L110" s="325"/>
      <c r="M110" s="325"/>
      <c r="N110" s="325"/>
      <c r="O110" s="325"/>
      <c r="P110" s="325"/>
      <c r="X110" s="6"/>
    </row>
    <row r="111" spans="1:42" ht="15" customHeight="1">
      <c r="A111" s="153"/>
      <c r="B111" s="153"/>
      <c r="C111" s="153"/>
      <c r="D111" s="153"/>
      <c r="E111" s="325"/>
      <c r="F111" s="325"/>
      <c r="G111" s="325"/>
      <c r="H111" s="325"/>
      <c r="I111" s="325"/>
      <c r="J111" s="325"/>
      <c r="K111" s="325"/>
      <c r="L111" s="325"/>
      <c r="M111" s="325"/>
      <c r="N111" s="325"/>
      <c r="O111" s="325"/>
      <c r="P111" s="325"/>
      <c r="X111" s="6"/>
      <c r="AJ111" s="12"/>
      <c r="AK111" s="12"/>
    </row>
    <row r="112" spans="1:42" ht="15" customHeight="1">
      <c r="A112" s="153"/>
      <c r="B112" s="153"/>
      <c r="C112" s="153"/>
      <c r="D112" s="153"/>
      <c r="E112" s="325"/>
      <c r="F112" s="325"/>
      <c r="G112" s="325"/>
      <c r="H112" s="325"/>
      <c r="I112" s="325"/>
      <c r="J112" s="325"/>
      <c r="K112" s="325"/>
      <c r="L112" s="325"/>
      <c r="M112" s="325"/>
      <c r="N112" s="325"/>
      <c r="O112" s="325"/>
      <c r="P112" s="325"/>
      <c r="X112" s="6"/>
      <c r="AJ112" s="12"/>
      <c r="AK112" s="12"/>
    </row>
    <row r="113" spans="1:42" ht="15" customHeight="1">
      <c r="A113" s="153"/>
      <c r="B113" s="153"/>
      <c r="C113" s="153"/>
      <c r="D113" s="153"/>
      <c r="E113" s="325"/>
      <c r="F113" s="325"/>
      <c r="G113" s="325"/>
      <c r="H113" s="325"/>
      <c r="I113" s="325"/>
      <c r="J113" s="325"/>
      <c r="K113" s="325"/>
      <c r="L113" s="325"/>
      <c r="M113" s="325"/>
      <c r="N113" s="325"/>
      <c r="O113" s="325"/>
      <c r="P113" s="325"/>
      <c r="X113" s="6"/>
      <c r="AJ113" s="12"/>
      <c r="AK113" s="12"/>
    </row>
    <row r="114" spans="1:42" ht="15" customHeight="1">
      <c r="A114" s="153"/>
      <c r="B114" s="153"/>
      <c r="C114" s="153"/>
      <c r="D114" s="153"/>
      <c r="E114" s="325"/>
      <c r="F114" s="325"/>
      <c r="G114" s="325"/>
      <c r="H114" s="325"/>
      <c r="I114" s="325"/>
      <c r="J114" s="325"/>
      <c r="K114" s="325"/>
      <c r="L114" s="325"/>
      <c r="M114" s="325"/>
      <c r="N114" s="325"/>
      <c r="O114" s="325"/>
      <c r="P114" s="325"/>
      <c r="X114" s="6"/>
      <c r="AJ114" s="12"/>
      <c r="AK114" s="12"/>
    </row>
    <row r="115" spans="1:42" ht="15" customHeight="1">
      <c r="A115" s="153"/>
      <c r="B115" s="153"/>
      <c r="C115" s="153"/>
      <c r="D115" s="153"/>
      <c r="E115" s="325"/>
      <c r="F115" s="325"/>
      <c r="G115" s="325"/>
      <c r="H115" s="325"/>
      <c r="I115" s="325"/>
      <c r="J115" s="325"/>
      <c r="K115" s="325"/>
      <c r="L115" s="325"/>
      <c r="M115" s="325"/>
      <c r="N115" s="325"/>
      <c r="O115" s="325"/>
      <c r="P115" s="325"/>
      <c r="X115" s="6"/>
      <c r="AJ115" s="12"/>
      <c r="AK115" s="12"/>
    </row>
    <row r="116" spans="1:42" ht="15" customHeight="1">
      <c r="A116" s="153"/>
      <c r="B116" s="153"/>
      <c r="C116" s="153"/>
      <c r="D116" s="153"/>
      <c r="E116" s="325"/>
      <c r="F116" s="325"/>
      <c r="G116" s="325"/>
      <c r="H116" s="325"/>
      <c r="I116" s="325"/>
      <c r="J116" s="325"/>
      <c r="K116" s="325"/>
      <c r="L116" s="325"/>
      <c r="M116" s="325"/>
      <c r="N116" s="325"/>
      <c r="O116" s="325"/>
      <c r="P116" s="325"/>
      <c r="X116" s="6"/>
      <c r="AJ116" s="12"/>
      <c r="AK116" s="12"/>
    </row>
    <row r="117" spans="1:42" ht="15" customHeight="1">
      <c r="A117" s="153"/>
      <c r="B117" s="153"/>
      <c r="C117" s="153"/>
      <c r="D117" s="153"/>
      <c r="E117" s="325"/>
      <c r="F117" s="325"/>
      <c r="G117" s="325"/>
      <c r="H117" s="325"/>
      <c r="I117" s="325"/>
      <c r="J117" s="325"/>
      <c r="K117" s="325"/>
      <c r="L117" s="325"/>
      <c r="M117" s="325"/>
      <c r="N117" s="325"/>
      <c r="O117" s="325"/>
      <c r="P117" s="325"/>
      <c r="X117" s="6"/>
      <c r="AJ117" s="12"/>
      <c r="AK117" s="12"/>
    </row>
    <row r="118" spans="1:42" ht="15" customHeight="1">
      <c r="A118" s="153"/>
      <c r="B118" s="153"/>
      <c r="C118" s="153"/>
      <c r="D118" s="153"/>
      <c r="E118" s="325"/>
      <c r="F118" s="325"/>
      <c r="G118" s="325"/>
      <c r="H118" s="325"/>
      <c r="I118" s="325"/>
      <c r="J118" s="325"/>
      <c r="K118" s="325"/>
      <c r="L118" s="325"/>
      <c r="M118" s="325"/>
      <c r="N118" s="325"/>
      <c r="O118" s="325"/>
      <c r="P118" s="325"/>
      <c r="X118" s="6"/>
      <c r="AJ118" s="12"/>
      <c r="AK118" s="12"/>
    </row>
    <row r="119" spans="1:42" ht="15" customHeight="1">
      <c r="A119" s="153"/>
      <c r="B119" s="153"/>
      <c r="C119" s="153"/>
      <c r="D119" s="153"/>
      <c r="E119" s="152"/>
      <c r="X119" s="6"/>
      <c r="AJ119" s="12"/>
      <c r="AK119" s="12"/>
    </row>
    <row r="120" spans="1:42" ht="15" customHeight="1">
      <c r="A120" s="153"/>
      <c r="B120" s="153"/>
      <c r="C120" s="153"/>
      <c r="D120" s="153"/>
      <c r="E120" s="152"/>
      <c r="F120" s="152"/>
      <c r="G120" s="152"/>
      <c r="H120" s="152"/>
      <c r="M120" s="152"/>
      <c r="N120" s="152"/>
      <c r="X120" s="6"/>
      <c r="AC120" s="12"/>
      <c r="AD120" s="12"/>
      <c r="AE120" s="12"/>
      <c r="AF120" s="12"/>
      <c r="AG120" s="12"/>
      <c r="AH120" s="12"/>
      <c r="AI120" s="12"/>
      <c r="AJ120" s="12"/>
      <c r="AK120" s="12"/>
      <c r="AL120" s="12"/>
      <c r="AM120" s="12"/>
      <c r="AN120" s="12"/>
      <c r="AO120" s="12"/>
      <c r="AP120" s="12"/>
    </row>
    <row r="121" spans="1:42" ht="15" customHeight="1">
      <c r="A121" s="153"/>
      <c r="B121" s="153"/>
      <c r="C121" s="153"/>
      <c r="D121" s="153"/>
      <c r="E121" s="152"/>
      <c r="F121" s="152"/>
      <c r="G121" s="152"/>
      <c r="H121" s="152"/>
      <c r="M121" s="152"/>
      <c r="N121" s="152"/>
      <c r="X121" s="6"/>
      <c r="AC121" s="12"/>
      <c r="AD121" s="12"/>
      <c r="AE121" s="12"/>
      <c r="AF121" s="12"/>
      <c r="AG121" s="12"/>
      <c r="AH121" s="12"/>
      <c r="AI121" s="12"/>
      <c r="AJ121" s="12"/>
      <c r="AK121" s="12"/>
      <c r="AL121" s="12"/>
      <c r="AM121" s="12"/>
      <c r="AN121" s="12"/>
      <c r="AO121" s="12"/>
      <c r="AP121" s="12"/>
    </row>
    <row r="122" spans="1:42" ht="15" customHeight="1">
      <c r="A122" s="153"/>
      <c r="B122" s="153"/>
      <c r="C122" s="153"/>
      <c r="D122" s="153"/>
      <c r="E122" s="152"/>
      <c r="F122" s="152"/>
      <c r="G122" s="152"/>
      <c r="H122" s="152"/>
      <c r="M122" s="152"/>
      <c r="N122" s="152"/>
      <c r="X122" s="6"/>
      <c r="AC122" s="12"/>
      <c r="AD122" s="12"/>
      <c r="AE122" s="12"/>
      <c r="AF122" s="12"/>
      <c r="AG122" s="12"/>
      <c r="AH122" s="12"/>
      <c r="AI122" s="12"/>
      <c r="AJ122" s="12"/>
      <c r="AK122" s="12"/>
      <c r="AL122" s="12"/>
      <c r="AM122" s="12"/>
      <c r="AN122" s="12"/>
      <c r="AO122" s="12"/>
      <c r="AP122" s="12"/>
    </row>
    <row r="123" spans="1:42" ht="15" customHeight="1">
      <c r="A123" s="153"/>
      <c r="B123" s="153"/>
      <c r="C123" s="153"/>
      <c r="D123" s="153"/>
      <c r="E123" s="152"/>
      <c r="F123" s="152"/>
      <c r="G123" s="152"/>
      <c r="H123" s="152"/>
      <c r="M123" s="152"/>
      <c r="N123" s="152"/>
      <c r="X123" s="6"/>
      <c r="AC123" s="12"/>
      <c r="AD123" s="12"/>
      <c r="AE123" s="12"/>
      <c r="AF123" s="12"/>
      <c r="AG123" s="12"/>
      <c r="AH123" s="12"/>
      <c r="AI123" s="12"/>
      <c r="AJ123" s="12"/>
      <c r="AK123" s="12"/>
      <c r="AL123" s="12"/>
      <c r="AM123" s="12"/>
      <c r="AN123" s="12"/>
      <c r="AO123" s="12"/>
      <c r="AP123" s="12"/>
    </row>
    <row r="124" spans="1:42" ht="15" customHeight="1">
      <c r="A124" s="153"/>
      <c r="B124" s="153"/>
      <c r="C124" s="153"/>
      <c r="D124" s="153"/>
      <c r="E124" s="152"/>
      <c r="F124" s="152"/>
      <c r="G124" s="152"/>
      <c r="H124" s="152"/>
      <c r="M124" s="152"/>
      <c r="N124" s="152"/>
      <c r="X124" s="6"/>
      <c r="AC124" s="12"/>
      <c r="AD124" s="12"/>
      <c r="AE124" s="12"/>
      <c r="AF124" s="12"/>
      <c r="AG124" s="12"/>
      <c r="AH124" s="12"/>
      <c r="AI124" s="12"/>
      <c r="AJ124" s="12"/>
      <c r="AK124" s="12"/>
      <c r="AL124" s="12"/>
      <c r="AM124" s="12"/>
      <c r="AN124" s="12"/>
      <c r="AO124" s="12"/>
      <c r="AP124" s="12"/>
    </row>
    <row r="125" spans="1:42" ht="15" customHeight="1">
      <c r="A125" s="153"/>
      <c r="B125" s="153"/>
      <c r="C125" s="153"/>
      <c r="D125" s="153"/>
      <c r="E125" s="152"/>
      <c r="F125" s="152"/>
      <c r="G125" s="152"/>
      <c r="H125" s="152"/>
      <c r="M125" s="152"/>
      <c r="N125" s="152"/>
      <c r="X125" s="6"/>
      <c r="AC125" s="12"/>
      <c r="AD125" s="12"/>
      <c r="AE125" s="12"/>
      <c r="AF125" s="12"/>
      <c r="AG125" s="12"/>
      <c r="AH125" s="12"/>
      <c r="AI125" s="12"/>
      <c r="AJ125" s="12"/>
      <c r="AK125" s="12"/>
      <c r="AL125" s="12"/>
      <c r="AM125" s="12"/>
      <c r="AN125" s="12"/>
      <c r="AO125" s="12"/>
      <c r="AP125" s="12"/>
    </row>
    <row r="126" spans="1:42" ht="15" customHeight="1">
      <c r="A126" s="153"/>
      <c r="B126" s="153"/>
      <c r="C126" s="153"/>
      <c r="D126" s="153"/>
      <c r="E126" s="152"/>
      <c r="F126" s="152"/>
      <c r="G126" s="152"/>
      <c r="H126" s="152"/>
      <c r="M126" s="152"/>
      <c r="N126" s="152"/>
      <c r="X126" s="6"/>
      <c r="AC126" s="12"/>
      <c r="AD126" s="12"/>
      <c r="AE126" s="12"/>
      <c r="AF126" s="12"/>
      <c r="AG126" s="12"/>
      <c r="AH126" s="12"/>
      <c r="AI126" s="12"/>
      <c r="AJ126" s="12"/>
      <c r="AK126" s="12"/>
      <c r="AL126" s="12"/>
      <c r="AM126" s="12"/>
      <c r="AN126" s="12"/>
      <c r="AO126" s="12"/>
      <c r="AP126" s="12"/>
    </row>
    <row r="127" spans="1:42" ht="15" customHeight="1">
      <c r="A127" s="153"/>
      <c r="B127" s="153"/>
      <c r="C127" s="153"/>
      <c r="D127" s="153"/>
      <c r="E127" s="152"/>
      <c r="F127" s="152"/>
      <c r="G127" s="152"/>
      <c r="H127" s="152"/>
      <c r="M127" s="152"/>
      <c r="N127" s="152"/>
      <c r="X127" s="6"/>
      <c r="AC127" s="12"/>
      <c r="AD127" s="12"/>
      <c r="AE127" s="12"/>
      <c r="AF127" s="12"/>
      <c r="AG127" s="12"/>
      <c r="AH127" s="12"/>
      <c r="AI127" s="12"/>
      <c r="AJ127" s="12"/>
      <c r="AK127" s="12"/>
      <c r="AL127" s="12"/>
      <c r="AM127" s="12"/>
      <c r="AN127" s="12"/>
      <c r="AO127" s="12"/>
      <c r="AP127" s="12"/>
    </row>
    <row r="128" spans="1:42" ht="15" customHeight="1">
      <c r="A128" s="156"/>
      <c r="B128" s="156"/>
      <c r="C128" s="156"/>
      <c r="D128" s="156"/>
      <c r="E128" s="178"/>
      <c r="F128" s="152"/>
      <c r="G128" s="152"/>
      <c r="H128" s="152"/>
      <c r="M128" s="152"/>
      <c r="N128" s="152"/>
      <c r="X128" s="6"/>
      <c r="AC128" s="12"/>
      <c r="AD128" s="12"/>
      <c r="AE128" s="12"/>
      <c r="AF128" s="12"/>
      <c r="AG128" s="12"/>
      <c r="AH128" s="12"/>
      <c r="AI128" s="12"/>
      <c r="AJ128" s="12"/>
      <c r="AK128" s="12"/>
      <c r="AL128" s="12"/>
      <c r="AM128" s="12"/>
      <c r="AN128" s="12"/>
      <c r="AO128" s="12"/>
      <c r="AP128" s="12"/>
    </row>
    <row r="129" spans="1:42" ht="15" customHeight="1">
      <c r="X129" s="6"/>
      <c r="AC129" s="12"/>
      <c r="AD129" s="12"/>
      <c r="AE129" s="12"/>
      <c r="AF129" s="12"/>
      <c r="AG129" s="12"/>
      <c r="AH129" s="12"/>
      <c r="AI129" s="12"/>
      <c r="AJ129" s="12"/>
      <c r="AK129" s="12"/>
      <c r="AL129" s="12"/>
      <c r="AM129" s="12"/>
      <c r="AN129" s="12"/>
      <c r="AO129" s="12"/>
      <c r="AP129" s="12"/>
    </row>
    <row r="130" spans="1:42" ht="15" customHeight="1">
      <c r="A130" s="2"/>
      <c r="X130" s="6"/>
      <c r="AC130" s="12"/>
      <c r="AD130" s="12"/>
      <c r="AE130" s="12"/>
      <c r="AF130" s="12"/>
      <c r="AG130" s="12"/>
      <c r="AH130" s="12"/>
      <c r="AI130" s="12"/>
      <c r="AJ130" s="12"/>
      <c r="AK130" s="12"/>
      <c r="AL130" s="12"/>
      <c r="AM130" s="12"/>
      <c r="AN130" s="12"/>
      <c r="AO130" s="12"/>
      <c r="AP130" s="12"/>
    </row>
    <row r="131" spans="1:42" ht="12" customHeight="1">
      <c r="A131" s="2"/>
      <c r="X131" s="6"/>
      <c r="AC131" s="12"/>
      <c r="AD131" s="12"/>
      <c r="AE131" s="12"/>
      <c r="AF131" s="12"/>
      <c r="AG131" s="12"/>
      <c r="AH131" s="12"/>
      <c r="AI131" s="12"/>
      <c r="AJ131" s="12"/>
      <c r="AK131" s="12"/>
      <c r="AL131" s="12"/>
      <c r="AM131" s="12"/>
      <c r="AN131" s="12"/>
      <c r="AO131" s="12"/>
      <c r="AP131" s="12"/>
    </row>
    <row r="132" spans="1:42" ht="29" customHeight="1" thickBot="1">
      <c r="A132" s="179" t="s">
        <v>171</v>
      </c>
      <c r="B132" s="44"/>
      <c r="C132" s="44"/>
      <c r="D132" s="44"/>
      <c r="E132" s="44"/>
      <c r="F132" s="44"/>
      <c r="G132" s="44"/>
      <c r="H132" s="44"/>
      <c r="I132" s="44"/>
      <c r="J132" s="44"/>
      <c r="K132" s="44"/>
      <c r="L132" s="44"/>
      <c r="M132" s="44"/>
      <c r="N132" s="44"/>
      <c r="O132" s="44"/>
      <c r="P132" s="44"/>
      <c r="Q132" s="44"/>
      <c r="R132" s="44"/>
      <c r="S132" s="44"/>
      <c r="T132" s="44"/>
      <c r="U132" s="44"/>
      <c r="V132" s="44"/>
      <c r="W132" s="44"/>
      <c r="X132" s="6"/>
      <c r="AC132" s="12"/>
      <c r="AD132" s="12"/>
      <c r="AE132" s="12"/>
      <c r="AF132" s="12"/>
      <c r="AG132" s="12"/>
      <c r="AH132" s="12"/>
      <c r="AI132" s="12"/>
      <c r="AJ132" s="12"/>
      <c r="AK132" s="12"/>
      <c r="AL132" s="12"/>
      <c r="AM132" s="12"/>
      <c r="AN132" s="12"/>
      <c r="AO132" s="12"/>
      <c r="AP132" s="12"/>
    </row>
    <row r="133" spans="1:42" ht="15" customHeight="1">
      <c r="A133" s="2"/>
      <c r="X133" s="6"/>
      <c r="AC133" s="12"/>
      <c r="AD133" s="12"/>
      <c r="AE133" s="12"/>
      <c r="AF133" s="12"/>
      <c r="AG133" s="12"/>
      <c r="AH133" s="12"/>
      <c r="AI133" s="12"/>
      <c r="AJ133" s="12"/>
      <c r="AK133" s="12"/>
      <c r="AL133" s="12"/>
      <c r="AM133" s="12"/>
      <c r="AN133" s="12"/>
      <c r="AO133" s="12"/>
      <c r="AP133" s="12"/>
    </row>
    <row r="134" spans="1:42" ht="18" customHeight="1">
      <c r="A134" s="223" t="s">
        <v>211</v>
      </c>
      <c r="B134" s="228"/>
      <c r="C134" s="228"/>
      <c r="D134" s="228"/>
      <c r="E134" s="228"/>
      <c r="F134" s="228"/>
      <c r="G134" s="228"/>
      <c r="H134" s="228"/>
      <c r="I134" s="228"/>
      <c r="X134" s="6"/>
      <c r="AC134" s="12"/>
      <c r="AD134" s="12"/>
      <c r="AE134" s="12"/>
      <c r="AF134" s="12"/>
      <c r="AG134" s="12"/>
      <c r="AH134" s="12"/>
      <c r="AI134" s="12"/>
      <c r="AJ134" s="12"/>
      <c r="AK134" s="12"/>
      <c r="AL134" s="12"/>
      <c r="AM134" s="12"/>
      <c r="AN134" s="12"/>
      <c r="AO134" s="12"/>
      <c r="AP134" s="12"/>
    </row>
    <row r="135" spans="1:42" ht="15" customHeight="1">
      <c r="A135" s="2"/>
      <c r="X135" s="6"/>
      <c r="AC135" s="12"/>
      <c r="AD135" s="12"/>
      <c r="AE135" s="12"/>
      <c r="AF135" s="12"/>
      <c r="AG135" s="12"/>
      <c r="AH135" s="12"/>
      <c r="AI135" s="12"/>
      <c r="AJ135" s="12"/>
      <c r="AK135" s="12"/>
      <c r="AL135" s="12"/>
      <c r="AM135" s="12"/>
      <c r="AN135" s="12"/>
      <c r="AO135" s="12"/>
      <c r="AP135" s="12"/>
    </row>
    <row r="136" spans="1:42" ht="26" customHeight="1" thickBot="1">
      <c r="A136" s="315" t="s">
        <v>205</v>
      </c>
      <c r="B136" s="315"/>
      <c r="C136" s="315"/>
      <c r="D136" s="315"/>
      <c r="E136" s="315"/>
      <c r="F136" s="315"/>
      <c r="G136" s="240"/>
      <c r="H136" s="240"/>
      <c r="I136" s="240"/>
      <c r="J136" s="240"/>
      <c r="K136" s="233"/>
      <c r="L136" s="233"/>
      <c r="M136" s="233"/>
      <c r="N136" s="233"/>
      <c r="O136" s="233"/>
      <c r="P136" s="233"/>
      <c r="Q136" s="233"/>
      <c r="R136" s="233"/>
      <c r="S136" s="233"/>
      <c r="T136" s="233"/>
      <c r="U136" s="233"/>
      <c r="V136" s="233"/>
      <c r="X136" s="6"/>
      <c r="AC136" s="12"/>
      <c r="AD136" s="12"/>
      <c r="AE136" s="12"/>
      <c r="AF136" s="12"/>
      <c r="AG136" s="12"/>
      <c r="AH136" s="12"/>
      <c r="AI136" s="12"/>
      <c r="AJ136" s="12"/>
      <c r="AK136" s="12"/>
      <c r="AL136" s="12"/>
      <c r="AM136" s="12"/>
      <c r="AN136" s="12"/>
      <c r="AO136" s="12"/>
      <c r="AP136" s="12"/>
    </row>
    <row r="137" spans="1:42" ht="15" customHeight="1">
      <c r="A137" s="59"/>
      <c r="B137" s="233"/>
      <c r="C137" s="233"/>
      <c r="D137" s="233"/>
      <c r="E137" s="233"/>
      <c r="F137" s="233"/>
      <c r="G137" s="233"/>
      <c r="H137" s="233"/>
      <c r="I137" s="233"/>
      <c r="J137" s="233"/>
      <c r="K137" s="233"/>
      <c r="L137" s="233"/>
      <c r="M137" s="233"/>
      <c r="N137" s="233"/>
      <c r="O137" s="233"/>
      <c r="P137" s="233"/>
      <c r="Q137" s="233"/>
      <c r="R137" s="233"/>
      <c r="S137" s="233"/>
      <c r="T137" s="233"/>
      <c r="U137" s="233"/>
      <c r="V137" s="233"/>
      <c r="X137" s="6"/>
      <c r="AC137" s="12"/>
      <c r="AD137" s="12"/>
      <c r="AE137" s="12"/>
      <c r="AF137" s="12"/>
      <c r="AG137" s="12"/>
      <c r="AH137" s="12"/>
      <c r="AI137" s="12"/>
      <c r="AJ137" s="12"/>
      <c r="AK137" s="12"/>
      <c r="AL137" s="12"/>
      <c r="AM137" s="12"/>
      <c r="AN137" s="12"/>
      <c r="AO137" s="12"/>
      <c r="AP137" s="12"/>
    </row>
    <row r="138" spans="1:42" ht="24" customHeight="1" thickBot="1">
      <c r="A138" s="231"/>
      <c r="B138" s="316" t="s">
        <v>206</v>
      </c>
      <c r="C138" s="316"/>
      <c r="D138" s="231"/>
      <c r="E138" s="317" t="s">
        <v>207</v>
      </c>
      <c r="F138" s="317"/>
      <c r="G138" s="233"/>
      <c r="H138" s="229" t="s">
        <v>208</v>
      </c>
      <c r="I138" s="231"/>
      <c r="J138" s="230" t="s">
        <v>209</v>
      </c>
      <c r="K138" s="233"/>
      <c r="L138" s="163"/>
      <c r="M138" s="318" t="s">
        <v>214</v>
      </c>
      <c r="N138" s="318"/>
      <c r="O138" s="318"/>
      <c r="P138" s="318"/>
      <c r="Q138" s="318"/>
      <c r="R138" s="318"/>
      <c r="S138" s="233"/>
      <c r="T138" s="233"/>
      <c r="U138" s="233"/>
      <c r="V138" s="233"/>
      <c r="X138" s="6"/>
      <c r="AC138" s="12"/>
      <c r="AD138" s="12"/>
      <c r="AE138" s="12"/>
      <c r="AF138" s="12"/>
      <c r="AG138" s="12"/>
      <c r="AH138" s="12"/>
      <c r="AI138" s="12"/>
      <c r="AJ138" s="12"/>
      <c r="AK138" s="12"/>
      <c r="AL138" s="12"/>
      <c r="AM138" s="12"/>
      <c r="AN138" s="12"/>
      <c r="AO138" s="12"/>
      <c r="AP138" s="12"/>
    </row>
    <row r="139" spans="1:42" ht="15" customHeight="1">
      <c r="A139" s="231"/>
      <c r="B139" s="231"/>
      <c r="C139" s="231"/>
      <c r="D139" s="231"/>
      <c r="E139" s="231"/>
      <c r="F139" s="231"/>
      <c r="G139" s="233"/>
      <c r="H139" s="233"/>
      <c r="I139" s="233"/>
      <c r="J139" s="233"/>
      <c r="K139" s="233"/>
      <c r="L139" s="163"/>
      <c r="M139" s="163"/>
      <c r="N139" s="163"/>
      <c r="O139" s="163"/>
      <c r="P139" s="163"/>
      <c r="Q139" s="163"/>
      <c r="R139" s="163"/>
      <c r="S139" s="233"/>
      <c r="T139" s="233"/>
      <c r="U139" s="233"/>
      <c r="V139" s="233"/>
      <c r="X139" s="6"/>
      <c r="AC139" s="12"/>
      <c r="AD139" s="12"/>
      <c r="AE139" s="12"/>
      <c r="AF139" s="12"/>
      <c r="AG139" s="12"/>
      <c r="AH139" s="12"/>
      <c r="AI139" s="12"/>
      <c r="AJ139" s="12"/>
      <c r="AK139" s="12"/>
      <c r="AL139" s="12"/>
      <c r="AM139" s="12"/>
      <c r="AN139" s="12"/>
      <c r="AO139" s="12"/>
      <c r="AP139" s="12"/>
    </row>
    <row r="140" spans="1:42" ht="23" customHeight="1">
      <c r="A140" s="231"/>
      <c r="B140" s="323">
        <v>1479</v>
      </c>
      <c r="C140" s="323"/>
      <c r="D140" s="241"/>
      <c r="E140" s="324">
        <v>403.8</v>
      </c>
      <c r="F140" s="324"/>
      <c r="G140" s="242"/>
      <c r="H140" s="224">
        <v>10.199999999999999</v>
      </c>
      <c r="I140" s="68"/>
      <c r="J140" s="225">
        <v>13.9</v>
      </c>
      <c r="K140" s="233"/>
      <c r="L140" s="163"/>
      <c r="M140" s="321">
        <f>B140*H140+E140*J140</f>
        <v>20698.62</v>
      </c>
      <c r="N140" s="321"/>
      <c r="O140" s="321"/>
      <c r="P140" s="321"/>
      <c r="Q140" s="321"/>
      <c r="R140" s="321"/>
      <c r="S140" s="233"/>
      <c r="T140" s="233"/>
      <c r="U140" s="233"/>
      <c r="V140" s="233"/>
      <c r="X140" s="6"/>
      <c r="AC140" s="12"/>
      <c r="AD140" s="12"/>
      <c r="AE140" s="12"/>
      <c r="AF140" s="12"/>
      <c r="AG140" s="12"/>
      <c r="AH140" s="12"/>
      <c r="AI140" s="12"/>
      <c r="AJ140" s="12"/>
      <c r="AK140" s="12"/>
      <c r="AL140" s="12"/>
      <c r="AM140" s="12"/>
      <c r="AN140" s="12"/>
      <c r="AO140" s="12"/>
      <c r="AP140" s="12"/>
    </row>
    <row r="141" spans="1:42" ht="23" customHeight="1" thickBot="1">
      <c r="A141" s="59"/>
      <c r="B141" s="233"/>
      <c r="C141" s="233"/>
      <c r="D141" s="233"/>
      <c r="E141" s="233"/>
      <c r="F141" s="233"/>
      <c r="G141" s="233"/>
      <c r="H141" s="233"/>
      <c r="I141" s="233"/>
      <c r="J141" s="233"/>
      <c r="K141" s="233"/>
      <c r="L141" s="163"/>
      <c r="M141" s="243"/>
      <c r="N141" s="163"/>
      <c r="O141" s="163"/>
      <c r="P141" s="244"/>
      <c r="Q141" s="163"/>
      <c r="R141" s="163"/>
      <c r="S141" s="233"/>
      <c r="T141" s="311" t="s">
        <v>212</v>
      </c>
      <c r="U141" s="311"/>
      <c r="V141" s="311"/>
      <c r="X141" s="6"/>
      <c r="AC141" s="12"/>
      <c r="AD141" s="12"/>
      <c r="AE141" s="12"/>
      <c r="AF141" s="12"/>
      <c r="AG141" s="12"/>
      <c r="AH141" s="12"/>
      <c r="AI141" s="12"/>
      <c r="AJ141" s="12"/>
      <c r="AK141" s="12"/>
      <c r="AL141" s="12"/>
      <c r="AM141" s="12"/>
      <c r="AN141" s="12"/>
      <c r="AO141" s="12"/>
      <c r="AP141" s="12"/>
    </row>
    <row r="142" spans="1:42" ht="23" customHeight="1">
      <c r="A142" s="59"/>
      <c r="B142" s="233"/>
      <c r="C142" s="233"/>
      <c r="D142" s="233"/>
      <c r="E142" s="233"/>
      <c r="F142" s="233"/>
      <c r="G142" s="233"/>
      <c r="H142" s="233"/>
      <c r="I142" s="233"/>
      <c r="J142" s="233"/>
      <c r="K142" s="233"/>
      <c r="L142" s="163"/>
      <c r="M142" s="243"/>
      <c r="N142" s="163"/>
      <c r="O142" s="163"/>
      <c r="P142" s="245"/>
      <c r="Q142" s="163"/>
      <c r="R142" s="163"/>
      <c r="S142" s="233"/>
      <c r="T142" s="233"/>
      <c r="U142" s="233"/>
      <c r="V142" s="233"/>
      <c r="X142" s="6"/>
      <c r="AC142" s="12"/>
      <c r="AD142" s="12"/>
      <c r="AE142" s="12"/>
      <c r="AF142" s="12"/>
      <c r="AG142" s="12"/>
      <c r="AH142" s="12"/>
      <c r="AI142" s="12"/>
      <c r="AJ142" s="12"/>
      <c r="AK142" s="12"/>
      <c r="AL142" s="12"/>
      <c r="AM142" s="12"/>
      <c r="AN142" s="12"/>
      <c r="AO142" s="12"/>
      <c r="AP142" s="12"/>
    </row>
    <row r="143" spans="1:42" ht="24" customHeight="1">
      <c r="A143" s="246" t="s">
        <v>217</v>
      </c>
      <c r="B143" s="247"/>
      <c r="C143" s="247"/>
      <c r="D143" s="247"/>
      <c r="E143" s="247"/>
      <c r="F143" s="247"/>
      <c r="G143" s="247"/>
      <c r="H143" s="247"/>
      <c r="I143" s="247"/>
      <c r="J143" s="247"/>
      <c r="K143" s="233"/>
      <c r="L143" s="163"/>
      <c r="M143" s="163"/>
      <c r="N143" s="163"/>
      <c r="O143" s="163"/>
      <c r="P143" s="163"/>
      <c r="Q143" s="163"/>
      <c r="R143" s="163"/>
      <c r="S143" s="233"/>
      <c r="T143" s="313">
        <f>M154-M140</f>
        <v>5724.0750000000044</v>
      </c>
      <c r="U143" s="314"/>
      <c r="V143" s="314"/>
      <c r="X143" s="6"/>
      <c r="AC143" s="12"/>
      <c r="AD143" s="12"/>
      <c r="AE143" s="12"/>
      <c r="AF143" s="12"/>
      <c r="AG143" s="12"/>
      <c r="AH143" s="12"/>
      <c r="AI143" s="12"/>
      <c r="AJ143" s="12"/>
      <c r="AK143" s="12"/>
      <c r="AL143" s="12"/>
      <c r="AM143" s="12"/>
      <c r="AN143" s="12"/>
      <c r="AO143" s="12"/>
      <c r="AP143" s="12"/>
    </row>
    <row r="144" spans="1:42" ht="15" customHeight="1">
      <c r="A144" s="59"/>
      <c r="B144" s="233"/>
      <c r="C144" s="233"/>
      <c r="D144" s="233"/>
      <c r="E144" s="233"/>
      <c r="F144" s="233"/>
      <c r="G144" s="233"/>
      <c r="H144" s="233"/>
      <c r="I144" s="233"/>
      <c r="J144" s="233"/>
      <c r="K144" s="233"/>
      <c r="L144" s="163"/>
      <c r="M144" s="163"/>
      <c r="N144" s="163"/>
      <c r="O144" s="163"/>
      <c r="P144" s="163"/>
      <c r="Q144" s="163"/>
      <c r="R144" s="163"/>
      <c r="S144" s="233"/>
      <c r="T144" s="312"/>
      <c r="U144" s="312"/>
      <c r="V144" s="312"/>
      <c r="X144" s="6"/>
      <c r="AC144" s="12"/>
      <c r="AD144" s="12"/>
      <c r="AE144" s="12"/>
      <c r="AF144" s="12"/>
      <c r="AG144" s="12"/>
      <c r="AH144" s="12"/>
      <c r="AI144" s="12"/>
      <c r="AJ144" s="12"/>
      <c r="AK144" s="12"/>
      <c r="AL144" s="12"/>
      <c r="AM144" s="12"/>
      <c r="AN144" s="12"/>
      <c r="AO144" s="12"/>
      <c r="AP144" s="12"/>
    </row>
    <row r="145" spans="1:42" ht="28" customHeight="1" thickBot="1">
      <c r="A145" s="315" t="s">
        <v>213</v>
      </c>
      <c r="B145" s="315"/>
      <c r="C145" s="315"/>
      <c r="D145" s="315"/>
      <c r="E145" s="315"/>
      <c r="F145" s="315"/>
      <c r="G145" s="248"/>
      <c r="H145" s="248"/>
      <c r="I145" s="248"/>
      <c r="J145" s="248"/>
      <c r="K145" s="233"/>
      <c r="L145" s="233"/>
      <c r="M145" s="318" t="s">
        <v>215</v>
      </c>
      <c r="N145" s="318"/>
      <c r="O145" s="318"/>
      <c r="P145" s="318"/>
      <c r="Q145" s="318"/>
      <c r="R145" s="318"/>
      <c r="S145" s="233"/>
      <c r="T145" s="312"/>
      <c r="U145" s="312"/>
      <c r="V145" s="312"/>
      <c r="X145" s="6"/>
      <c r="AC145" s="12"/>
      <c r="AD145" s="12"/>
      <c r="AE145" s="12"/>
      <c r="AF145" s="12"/>
      <c r="AG145" s="12"/>
      <c r="AH145" s="12"/>
      <c r="AI145" s="12"/>
      <c r="AJ145" s="12"/>
      <c r="AK145" s="12"/>
      <c r="AL145" s="12"/>
      <c r="AM145" s="12"/>
      <c r="AN145" s="12"/>
      <c r="AO145" s="12"/>
      <c r="AP145" s="12"/>
    </row>
    <row r="146" spans="1:42" ht="15" customHeight="1">
      <c r="A146" s="59"/>
      <c r="B146" s="233"/>
      <c r="C146" s="233"/>
      <c r="D146" s="233"/>
      <c r="E146" s="233"/>
      <c r="F146" s="233"/>
      <c r="G146" s="233"/>
      <c r="H146" s="233"/>
      <c r="I146" s="233"/>
      <c r="J146" s="233"/>
      <c r="K146" s="233"/>
      <c r="L146" s="233"/>
      <c r="M146" s="233"/>
      <c r="N146" s="233"/>
      <c r="O146" s="233"/>
      <c r="P146" s="233"/>
      <c r="Q146" s="233"/>
      <c r="R146" s="233"/>
      <c r="S146" s="233"/>
      <c r="T146" s="233"/>
      <c r="U146" s="233"/>
      <c r="V146" s="233"/>
      <c r="X146" s="6"/>
      <c r="AC146" s="12"/>
      <c r="AD146" s="12"/>
      <c r="AE146" s="12"/>
      <c r="AF146" s="12"/>
      <c r="AG146" s="12"/>
      <c r="AH146" s="12"/>
      <c r="AI146" s="12"/>
      <c r="AJ146" s="12"/>
      <c r="AK146" s="12"/>
      <c r="AL146" s="12"/>
      <c r="AM146" s="12"/>
      <c r="AN146" s="12"/>
      <c r="AO146" s="12"/>
      <c r="AP146" s="12"/>
    </row>
    <row r="147" spans="1:42" ht="27" customHeight="1" thickBot="1">
      <c r="A147" s="231"/>
      <c r="B147" s="316" t="s">
        <v>206</v>
      </c>
      <c r="C147" s="316"/>
      <c r="D147" s="231"/>
      <c r="E147" s="317" t="s">
        <v>207</v>
      </c>
      <c r="F147" s="317"/>
      <c r="G147" s="233"/>
      <c r="H147" s="234"/>
      <c r="I147" s="232" t="s">
        <v>55</v>
      </c>
      <c r="J147" s="235" t="s">
        <v>209</v>
      </c>
      <c r="K147" s="233"/>
      <c r="L147" s="163"/>
      <c r="M147" s="322">
        <f>(B149+E149)*I149</f>
        <v>23346.720000000001</v>
      </c>
      <c r="N147" s="322"/>
      <c r="O147" s="322"/>
      <c r="P147" s="322"/>
      <c r="Q147" s="322"/>
      <c r="R147" s="322"/>
      <c r="S147" s="233"/>
      <c r="T147" s="233"/>
      <c r="U147" s="233"/>
      <c r="V147" s="233"/>
      <c r="X147" s="6"/>
      <c r="AC147" s="12"/>
      <c r="AD147" s="12"/>
      <c r="AE147" s="12"/>
      <c r="AF147" s="12"/>
      <c r="AG147" s="12"/>
      <c r="AH147" s="12"/>
      <c r="AI147" s="12"/>
      <c r="AJ147" s="12"/>
      <c r="AK147" s="12"/>
      <c r="AL147" s="12"/>
      <c r="AM147" s="12"/>
      <c r="AN147" s="12"/>
      <c r="AO147" s="12"/>
      <c r="AP147" s="12"/>
    </row>
    <row r="148" spans="1:42" ht="14" customHeight="1">
      <c r="A148" s="231"/>
      <c r="B148" s="231"/>
      <c r="C148" s="231"/>
      <c r="D148" s="231"/>
      <c r="E148" s="231"/>
      <c r="F148" s="231"/>
      <c r="G148" s="233"/>
      <c r="H148" s="233"/>
      <c r="I148" s="233"/>
      <c r="J148" s="233"/>
      <c r="K148" s="233"/>
      <c r="L148" s="163"/>
      <c r="M148" s="163"/>
      <c r="N148" s="163"/>
      <c r="O148" s="163"/>
      <c r="P148" s="163"/>
      <c r="Q148" s="163"/>
      <c r="R148" s="163"/>
      <c r="S148" s="233"/>
      <c r="T148" s="233"/>
      <c r="U148" s="233"/>
      <c r="V148" s="233"/>
      <c r="X148" s="6"/>
      <c r="AC148" s="12"/>
      <c r="AD148" s="12"/>
      <c r="AE148" s="12"/>
      <c r="AF148" s="12"/>
      <c r="AG148" s="12"/>
      <c r="AH148" s="12"/>
      <c r="AI148" s="12"/>
      <c r="AJ148" s="12"/>
      <c r="AK148" s="12"/>
      <c r="AL148" s="12"/>
      <c r="AM148" s="12"/>
      <c r="AN148" s="12"/>
      <c r="AO148" s="12"/>
      <c r="AP148" s="12"/>
    </row>
    <row r="149" spans="1:42" ht="24" customHeight="1">
      <c r="A149" s="231"/>
      <c r="B149" s="319">
        <v>1479</v>
      </c>
      <c r="C149" s="319"/>
      <c r="D149" s="234"/>
      <c r="E149" s="320">
        <v>403.8</v>
      </c>
      <c r="F149" s="320"/>
      <c r="G149" s="242"/>
      <c r="H149" s="68"/>
      <c r="I149" s="226">
        <v>12.4</v>
      </c>
      <c r="J149" s="227">
        <v>13.9</v>
      </c>
      <c r="K149" s="233"/>
      <c r="L149" s="163"/>
      <c r="M149" s="233"/>
      <c r="N149" s="233"/>
      <c r="O149" s="233"/>
      <c r="P149" s="233"/>
      <c r="Q149" s="233"/>
      <c r="R149" s="233"/>
      <c r="S149" s="233"/>
      <c r="T149" s="233"/>
      <c r="U149" s="233"/>
      <c r="V149" s="233"/>
      <c r="X149" s="6"/>
      <c r="AC149" s="12"/>
      <c r="AD149" s="12"/>
      <c r="AE149" s="12"/>
      <c r="AF149" s="12"/>
      <c r="AG149" s="12"/>
      <c r="AH149" s="12"/>
      <c r="AI149" s="12"/>
      <c r="AJ149" s="12"/>
      <c r="AK149" s="12"/>
      <c r="AL149" s="12"/>
      <c r="AM149" s="12"/>
      <c r="AN149" s="12"/>
      <c r="AO149" s="12"/>
      <c r="AP149" s="12"/>
    </row>
    <row r="150" spans="1:42" ht="15" customHeight="1">
      <c r="A150" s="233"/>
      <c r="B150" s="233"/>
      <c r="C150" s="233"/>
      <c r="D150" s="233"/>
      <c r="E150" s="233"/>
      <c r="F150" s="233"/>
      <c r="G150" s="233"/>
      <c r="H150" s="233"/>
      <c r="I150" s="233"/>
      <c r="J150" s="233"/>
      <c r="K150" s="233"/>
      <c r="L150" s="233"/>
      <c r="M150" s="233"/>
      <c r="N150" s="233"/>
      <c r="O150" s="233"/>
      <c r="P150" s="233"/>
      <c r="Q150" s="233"/>
      <c r="R150" s="233"/>
      <c r="S150" s="233"/>
      <c r="T150" s="233"/>
      <c r="U150" s="233"/>
      <c r="V150" s="233"/>
      <c r="X150" s="6"/>
      <c r="AC150" s="12"/>
      <c r="AD150" s="12"/>
      <c r="AE150" s="12"/>
      <c r="AF150" s="12"/>
      <c r="AG150" s="12"/>
      <c r="AH150" s="12"/>
      <c r="AI150" s="12"/>
      <c r="AJ150" s="12"/>
      <c r="AK150" s="12"/>
      <c r="AL150" s="12"/>
      <c r="AM150" s="12"/>
      <c r="AN150" s="12"/>
      <c r="AO150" s="12"/>
      <c r="AP150" s="12"/>
    </row>
    <row r="151" spans="1:42" ht="15" customHeight="1">
      <c r="A151" s="233"/>
      <c r="B151" s="233"/>
      <c r="C151" s="233"/>
      <c r="D151" s="233"/>
      <c r="E151" s="233"/>
      <c r="F151" s="233"/>
      <c r="G151" s="233"/>
      <c r="H151" s="233"/>
      <c r="I151" s="233"/>
      <c r="J151" s="233"/>
      <c r="K151" s="233"/>
      <c r="L151" s="233"/>
      <c r="M151" s="233"/>
      <c r="N151" s="233"/>
      <c r="O151" s="233"/>
      <c r="P151" s="233"/>
      <c r="Q151" s="233"/>
      <c r="R151" s="233"/>
      <c r="S151" s="233"/>
      <c r="T151" s="233"/>
      <c r="U151" s="233"/>
      <c r="V151" s="233"/>
      <c r="X151" s="6"/>
      <c r="AC151" s="12"/>
      <c r="AD151" s="12"/>
      <c r="AE151" s="12"/>
      <c r="AF151" s="12"/>
      <c r="AG151" s="12"/>
      <c r="AH151" s="12"/>
      <c r="AI151" s="12"/>
      <c r="AJ151" s="12"/>
      <c r="AK151" s="12"/>
      <c r="AL151" s="12"/>
      <c r="AM151" s="12"/>
      <c r="AN151" s="12"/>
      <c r="AO151" s="12"/>
      <c r="AP151" s="12"/>
    </row>
    <row r="152" spans="1:42" ht="26" customHeight="1" thickBot="1">
      <c r="A152" s="233"/>
      <c r="B152" s="233"/>
      <c r="C152" s="309" t="s">
        <v>210</v>
      </c>
      <c r="D152" s="309"/>
      <c r="E152" s="309"/>
      <c r="F152" s="233"/>
      <c r="G152" s="233"/>
      <c r="H152" s="233"/>
      <c r="I152" s="233"/>
      <c r="J152" s="233"/>
      <c r="K152" s="233"/>
      <c r="L152" s="233"/>
      <c r="M152" s="318" t="s">
        <v>216</v>
      </c>
      <c r="N152" s="318"/>
      <c r="O152" s="318"/>
      <c r="P152" s="318"/>
      <c r="Q152" s="318"/>
      <c r="R152" s="318"/>
      <c r="S152" s="233"/>
      <c r="T152" s="233"/>
      <c r="U152" s="233"/>
      <c r="V152" s="233"/>
      <c r="X152" s="6"/>
    </row>
    <row r="153" spans="1:42" ht="15" customHeight="1">
      <c r="A153" s="233"/>
      <c r="B153" s="233"/>
      <c r="C153" s="233"/>
      <c r="D153" s="233"/>
      <c r="E153" s="233"/>
      <c r="F153" s="233"/>
      <c r="G153" s="233"/>
      <c r="H153" s="233"/>
      <c r="I153" s="233"/>
      <c r="J153" s="233"/>
      <c r="K153" s="233"/>
      <c r="L153" s="233"/>
      <c r="M153" s="233"/>
      <c r="N153" s="233"/>
      <c r="O153" s="233"/>
      <c r="P153" s="233"/>
      <c r="Q153" s="233"/>
      <c r="R153" s="233"/>
      <c r="S153" s="233"/>
      <c r="T153" s="233"/>
      <c r="U153" s="233"/>
      <c r="V153" s="233"/>
      <c r="X153" s="6"/>
      <c r="AC153" s="12"/>
      <c r="AD153" s="12"/>
      <c r="AE153" s="12"/>
      <c r="AF153" s="12"/>
      <c r="AG153" s="12"/>
      <c r="AH153" s="12"/>
      <c r="AI153" s="12"/>
      <c r="AJ153" s="12"/>
      <c r="AK153" s="12"/>
      <c r="AL153" s="12"/>
      <c r="AM153" s="12"/>
      <c r="AN153" s="12"/>
      <c r="AO153" s="12"/>
      <c r="AP153" s="12"/>
    </row>
    <row r="154" spans="1:42" ht="22" customHeight="1">
      <c r="A154" s="233"/>
      <c r="B154" s="233"/>
      <c r="C154" s="310">
        <f>E99/1000</f>
        <v>248.0625</v>
      </c>
      <c r="D154" s="310"/>
      <c r="E154" s="310"/>
      <c r="F154" s="233"/>
      <c r="G154" s="233"/>
      <c r="H154" s="233"/>
      <c r="I154" s="233"/>
      <c r="J154" s="233"/>
      <c r="K154" s="233"/>
      <c r="L154" s="233"/>
      <c r="M154" s="321">
        <f>(B149+E149+C154) *I149</f>
        <v>26422.695000000003</v>
      </c>
      <c r="N154" s="321"/>
      <c r="O154" s="321"/>
      <c r="P154" s="321"/>
      <c r="Q154" s="321"/>
      <c r="R154" s="321"/>
      <c r="S154" s="233"/>
      <c r="T154" s="233"/>
      <c r="U154" s="233"/>
      <c r="V154" s="233"/>
      <c r="X154" s="6"/>
      <c r="AC154" s="12"/>
      <c r="AD154" s="12"/>
      <c r="AE154" s="12"/>
      <c r="AF154" s="12"/>
      <c r="AG154" s="12"/>
      <c r="AH154" s="12"/>
      <c r="AI154" s="12"/>
      <c r="AJ154" s="12"/>
      <c r="AK154" s="12"/>
      <c r="AL154" s="12"/>
      <c r="AM154" s="12"/>
      <c r="AN154" s="12"/>
      <c r="AO154" s="12"/>
      <c r="AP154" s="12"/>
    </row>
    <row r="155" spans="1:42" ht="15" customHeight="1">
      <c r="M155" s="36"/>
      <c r="O155" s="36"/>
      <c r="P155" s="36"/>
      <c r="Q155" s="36"/>
      <c r="R155" s="36"/>
      <c r="S155" s="36"/>
      <c r="T155" s="36"/>
      <c r="U155" s="36"/>
      <c r="V155" s="36"/>
      <c r="W155" s="36"/>
      <c r="X155" s="6"/>
      <c r="AA155" s="13"/>
      <c r="AB155" s="13"/>
      <c r="AC155" s="13"/>
      <c r="AD155" s="13"/>
      <c r="AE155" s="13"/>
      <c r="AF155" s="13"/>
      <c r="AG155" s="13"/>
      <c r="AH155" s="13"/>
      <c r="AI155" s="13"/>
      <c r="AJ155" s="13"/>
      <c r="AK155" s="13"/>
      <c r="AL155" s="13"/>
      <c r="AM155" s="13"/>
      <c r="AN155" s="13"/>
      <c r="AO155" s="13"/>
    </row>
    <row r="156" spans="1:42" ht="21" customHeight="1" thickBot="1">
      <c r="A156" s="83" t="s">
        <v>84</v>
      </c>
      <c r="B156" s="82"/>
      <c r="C156" s="82"/>
      <c r="X156" s="252"/>
      <c r="Y156" s="13"/>
      <c r="Z156" s="13"/>
      <c r="AA156" s="13"/>
      <c r="AB156" s="13"/>
      <c r="AC156" s="13"/>
      <c r="AD156" s="13"/>
      <c r="AE156" s="13"/>
      <c r="AF156" s="13"/>
      <c r="AG156" s="13"/>
      <c r="AH156" s="13"/>
      <c r="AI156" s="13"/>
      <c r="AJ156" s="13"/>
      <c r="AK156" s="13"/>
      <c r="AL156" s="13"/>
    </row>
    <row r="157" spans="1:42" ht="21" customHeight="1">
      <c r="A157" s="236" t="s">
        <v>224</v>
      </c>
      <c r="B157" s="236"/>
      <c r="C157" s="236"/>
      <c r="D157" s="236"/>
      <c r="E157" s="236"/>
      <c r="F157" s="236"/>
      <c r="G157" s="236"/>
      <c r="H157" s="236"/>
      <c r="I157" s="236"/>
      <c r="J157" s="236"/>
      <c r="K157" s="236"/>
      <c r="L157" s="236"/>
      <c r="X157" s="252"/>
      <c r="Y157" s="13"/>
      <c r="Z157" s="13"/>
      <c r="AA157" s="13"/>
      <c r="AB157" s="13"/>
      <c r="AC157" s="13"/>
      <c r="AD157" s="13"/>
      <c r="AE157" s="13"/>
      <c r="AF157" s="13"/>
      <c r="AG157" s="13"/>
      <c r="AH157" s="13"/>
      <c r="AI157" s="13"/>
      <c r="AJ157" s="13"/>
      <c r="AK157" s="13"/>
      <c r="AL157" s="13"/>
    </row>
    <row r="158" spans="1:42" ht="21" customHeight="1" thickBot="1">
      <c r="A158" s="251"/>
      <c r="B158" s="251"/>
      <c r="C158" s="251"/>
      <c r="D158" s="251"/>
      <c r="E158" s="251"/>
      <c r="F158" s="251"/>
      <c r="G158" s="251"/>
      <c r="H158" s="251"/>
      <c r="I158" s="251"/>
      <c r="J158" s="251"/>
      <c r="K158" s="251"/>
      <c r="L158" s="251"/>
      <c r="M158" s="249"/>
      <c r="N158" s="249"/>
      <c r="O158" s="249"/>
      <c r="P158" s="249"/>
      <c r="Q158" s="249"/>
      <c r="R158" s="249"/>
      <c r="S158" s="249"/>
      <c r="T158" s="249"/>
      <c r="U158" s="249"/>
      <c r="V158" s="249"/>
      <c r="W158" s="57"/>
      <c r="X158" s="252"/>
      <c r="Y158" s="13"/>
      <c r="Z158" s="13"/>
      <c r="AA158" s="13"/>
      <c r="AB158" s="13"/>
      <c r="AC158" s="13"/>
      <c r="AD158" s="13"/>
      <c r="AE158" s="13"/>
      <c r="AF158" s="13"/>
      <c r="AG158" s="13"/>
      <c r="AH158" s="13"/>
      <c r="AI158" s="13"/>
      <c r="AJ158" s="13"/>
      <c r="AK158" s="13"/>
      <c r="AL158" s="13"/>
    </row>
    <row r="159" spans="1:42" ht="16" customHeight="1">
      <c r="X159" s="13"/>
      <c r="Y159" s="13"/>
      <c r="Z159" s="13"/>
      <c r="AA159" s="13"/>
      <c r="AB159" s="13"/>
      <c r="AC159" s="13"/>
      <c r="AD159" s="13"/>
      <c r="AE159" s="13"/>
      <c r="AF159" s="13"/>
      <c r="AG159" s="13"/>
      <c r="AH159" s="13"/>
      <c r="AI159" s="13"/>
      <c r="AJ159" s="13"/>
      <c r="AK159" s="13"/>
      <c r="AL159" s="13"/>
    </row>
    <row r="160" spans="1:42" ht="18" customHeight="1">
      <c r="X160" s="13"/>
      <c r="Y160" s="13"/>
      <c r="Z160" s="13"/>
      <c r="AA160" s="13"/>
      <c r="AB160" s="13"/>
      <c r="AC160" s="13"/>
      <c r="AD160" s="13"/>
      <c r="AE160" s="13"/>
      <c r="AF160" s="13"/>
      <c r="AG160" s="13"/>
      <c r="AH160" s="13"/>
      <c r="AI160" s="13"/>
      <c r="AJ160" s="13"/>
      <c r="AK160" s="13"/>
      <c r="AL160" s="13"/>
    </row>
    <row r="161" spans="24:38" ht="17" customHeight="1">
      <c r="X161" s="13"/>
      <c r="Y161" s="13"/>
      <c r="Z161" s="13"/>
      <c r="AA161" s="13"/>
      <c r="AB161" s="13"/>
      <c r="AC161" s="13"/>
      <c r="AD161" s="13"/>
      <c r="AE161" s="13"/>
      <c r="AF161" s="13"/>
      <c r="AG161" s="13"/>
      <c r="AH161" s="13"/>
      <c r="AI161" s="13"/>
      <c r="AJ161" s="13"/>
      <c r="AK161" s="13"/>
      <c r="AL161" s="13"/>
    </row>
    <row r="162" spans="24:38" ht="17" customHeight="1">
      <c r="X162" s="13"/>
      <c r="Y162" s="13"/>
      <c r="Z162" s="13"/>
      <c r="AA162" s="13"/>
      <c r="AB162" s="13"/>
      <c r="AC162" s="13"/>
      <c r="AD162" s="13"/>
      <c r="AE162" s="13"/>
      <c r="AF162" s="13"/>
      <c r="AG162" s="13"/>
      <c r="AH162" s="13"/>
      <c r="AI162" s="13"/>
      <c r="AJ162" s="13"/>
      <c r="AK162" s="13"/>
      <c r="AL162" s="13"/>
    </row>
    <row r="163" spans="24:38" ht="17" customHeight="1">
      <c r="X163" s="13"/>
      <c r="Y163" s="13"/>
      <c r="Z163" s="13"/>
      <c r="AA163" s="13"/>
      <c r="AB163" s="13"/>
      <c r="AC163" s="13"/>
      <c r="AD163" s="13"/>
      <c r="AE163" s="13"/>
      <c r="AF163" s="13"/>
      <c r="AG163" s="13"/>
      <c r="AH163" s="13"/>
      <c r="AI163" s="13"/>
      <c r="AJ163" s="13"/>
      <c r="AK163" s="13"/>
      <c r="AL163" s="13"/>
    </row>
    <row r="219" spans="24:24">
      <c r="X219" s="6"/>
    </row>
  </sheetData>
  <mergeCells count="76">
    <mergeCell ref="K12:Q20"/>
    <mergeCell ref="G66:O66"/>
    <mergeCell ref="G67:O76"/>
    <mergeCell ref="G78:O78"/>
    <mergeCell ref="G79:O85"/>
    <mergeCell ref="G53:O53"/>
    <mergeCell ref="Q53:V53"/>
    <mergeCell ref="Q62:R62"/>
    <mergeCell ref="Q60:R60"/>
    <mergeCell ref="D32:I34"/>
    <mergeCell ref="R32:W34"/>
    <mergeCell ref="Q61:R61"/>
    <mergeCell ref="Q59:R59"/>
    <mergeCell ref="G56:O56"/>
    <mergeCell ref="A42:C44"/>
    <mergeCell ref="D42:I44"/>
    <mergeCell ref="Q69:R69"/>
    <mergeCell ref="K32:Q34"/>
    <mergeCell ref="K42:Q44"/>
    <mergeCell ref="A37:I37"/>
    <mergeCell ref="K37:V37"/>
    <mergeCell ref="A27:I30"/>
    <mergeCell ref="R42:W44"/>
    <mergeCell ref="K38:W41"/>
    <mergeCell ref="A38:I41"/>
    <mergeCell ref="Q70:R70"/>
    <mergeCell ref="D2:Q2"/>
    <mergeCell ref="A50:W51"/>
    <mergeCell ref="A7:W7"/>
    <mergeCell ref="A24:W24"/>
    <mergeCell ref="D3:Q3"/>
    <mergeCell ref="B9:I9"/>
    <mergeCell ref="K26:V26"/>
    <mergeCell ref="K27:W30"/>
    <mergeCell ref="A32:C34"/>
    <mergeCell ref="D10:I10"/>
    <mergeCell ref="D12:I20"/>
    <mergeCell ref="A26:I26"/>
    <mergeCell ref="K10:Q10"/>
    <mergeCell ref="G57:O63"/>
    <mergeCell ref="A47:L47"/>
    <mergeCell ref="E105:P118"/>
    <mergeCell ref="Q91:R91"/>
    <mergeCell ref="Q71:R71"/>
    <mergeCell ref="Q72:R72"/>
    <mergeCell ref="Q84:R84"/>
    <mergeCell ref="G88:O93"/>
    <mergeCell ref="G95:O95"/>
    <mergeCell ref="Q83:R83"/>
    <mergeCell ref="Q82:R82"/>
    <mergeCell ref="Q92:R92"/>
    <mergeCell ref="Q93:R93"/>
    <mergeCell ref="Q81:R81"/>
    <mergeCell ref="Q90:R90"/>
    <mergeCell ref="G87:O87"/>
    <mergeCell ref="A136:F136"/>
    <mergeCell ref="B138:C138"/>
    <mergeCell ref="E138:F138"/>
    <mergeCell ref="M138:R138"/>
    <mergeCell ref="B140:C140"/>
    <mergeCell ref="E140:F140"/>
    <mergeCell ref="M140:R140"/>
    <mergeCell ref="C152:E152"/>
    <mergeCell ref="C154:E154"/>
    <mergeCell ref="T141:V141"/>
    <mergeCell ref="T144:V145"/>
    <mergeCell ref="T143:V143"/>
    <mergeCell ref="A145:F145"/>
    <mergeCell ref="B147:C147"/>
    <mergeCell ref="E147:F147"/>
    <mergeCell ref="M152:R152"/>
    <mergeCell ref="B149:C149"/>
    <mergeCell ref="E149:F149"/>
    <mergeCell ref="M154:R154"/>
    <mergeCell ref="M147:R147"/>
    <mergeCell ref="M145:R145"/>
  </mergeCells>
  <phoneticPr fontId="16" type="noConversion"/>
  <conditionalFormatting sqref="C99">
    <cfRule type="cellIs" dxfId="1" priority="1" operator="lessThan">
      <formula>0</formula>
    </cfRule>
    <cfRule type="cellIs" dxfId="0" priority="2" operator="lessThan">
      <formula>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3292-F163-7246-A61C-D680913ECFB9}">
  <sheetPr codeName="Foglio5"/>
  <dimension ref="A1:AF57"/>
  <sheetViews>
    <sheetView topLeftCell="A38" zoomScale="125" zoomScaleNormal="39" workbookViewId="0">
      <selection activeCell="I12" sqref="I12"/>
    </sheetView>
  </sheetViews>
  <sheetFormatPr baseColWidth="10" defaultColWidth="10.6640625" defaultRowHeight="16"/>
  <cols>
    <col min="91" max="91" width="13.33203125" customWidth="1"/>
    <col min="99" max="99" width="13" customWidth="1"/>
  </cols>
  <sheetData>
    <row r="1" spans="1:32">
      <c r="A1" s="378" t="s">
        <v>194</v>
      </c>
      <c r="B1" s="378"/>
      <c r="C1" s="378"/>
      <c r="D1" s="378"/>
      <c r="E1" s="194"/>
      <c r="F1" s="194"/>
      <c r="G1" s="194"/>
    </row>
    <row r="3" spans="1:32" ht="18" thickBot="1">
      <c r="A3" s="88" t="s">
        <v>57</v>
      </c>
      <c r="B3" s="89" t="s">
        <v>101</v>
      </c>
      <c r="C3" s="89" t="s">
        <v>54</v>
      </c>
      <c r="D3" s="90" t="s">
        <v>55</v>
      </c>
      <c r="E3" s="91" t="s">
        <v>56</v>
      </c>
      <c r="F3" s="91" t="s">
        <v>102</v>
      </c>
      <c r="G3" s="92" t="s">
        <v>58</v>
      </c>
      <c r="AF3" s="9"/>
    </row>
    <row r="4" spans="1:32" ht="17">
      <c r="A4" s="93" t="s">
        <v>34</v>
      </c>
      <c r="B4" s="94">
        <v>0.23380000000000001</v>
      </c>
      <c r="C4" s="95">
        <v>5.0999999999999996</v>
      </c>
      <c r="D4" s="95">
        <v>23.1</v>
      </c>
      <c r="E4" s="95">
        <v>0.67</v>
      </c>
      <c r="F4" s="96"/>
      <c r="G4" s="97">
        <v>2022</v>
      </c>
      <c r="AF4" s="9"/>
    </row>
    <row r="5" spans="1:32" ht="17">
      <c r="A5" s="93" t="s">
        <v>17</v>
      </c>
      <c r="B5" s="94">
        <v>0.27810000000000001</v>
      </c>
      <c r="C5" s="95">
        <v>3.6</v>
      </c>
      <c r="D5" s="95">
        <v>15.1</v>
      </c>
      <c r="E5" s="95">
        <v>2.12</v>
      </c>
      <c r="F5" s="96"/>
      <c r="G5" s="97">
        <v>2022</v>
      </c>
      <c r="AF5" s="9"/>
    </row>
    <row r="6" spans="1:32" ht="17">
      <c r="A6" s="93" t="s">
        <v>35</v>
      </c>
      <c r="B6" s="94">
        <v>0.19089999999999999</v>
      </c>
      <c r="C6" s="95">
        <v>2</v>
      </c>
      <c r="D6" s="95">
        <v>11</v>
      </c>
      <c r="E6" s="95">
        <v>0.71</v>
      </c>
      <c r="F6" s="96"/>
      <c r="G6" s="97">
        <v>2022</v>
      </c>
      <c r="AF6" s="9"/>
    </row>
    <row r="7" spans="1:32" ht="17">
      <c r="A7" s="98" t="s">
        <v>16</v>
      </c>
      <c r="B7" s="99">
        <v>8.8599999999999998E-2</v>
      </c>
      <c r="C7" s="100">
        <v>0.7</v>
      </c>
      <c r="D7" s="100">
        <v>7.9</v>
      </c>
      <c r="E7" s="100">
        <v>1.05</v>
      </c>
      <c r="F7" s="101"/>
      <c r="G7" s="102">
        <v>2022</v>
      </c>
      <c r="AF7" s="9"/>
    </row>
    <row r="8" spans="1:32" ht="17">
      <c r="A8" s="103" t="s">
        <v>36</v>
      </c>
      <c r="B8" s="104">
        <v>0.1</v>
      </c>
      <c r="C8" s="105">
        <v>0.7</v>
      </c>
      <c r="D8" s="105">
        <v>9</v>
      </c>
      <c r="E8" s="105">
        <v>0.23</v>
      </c>
      <c r="F8" s="106"/>
      <c r="G8" s="107">
        <v>2022</v>
      </c>
      <c r="AF8" s="9"/>
    </row>
    <row r="9" spans="1:32" ht="17">
      <c r="A9" s="103" t="s">
        <v>37</v>
      </c>
      <c r="B9" s="104">
        <v>9.4299999999999995E-2</v>
      </c>
      <c r="C9" s="105">
        <v>0.4</v>
      </c>
      <c r="D9" s="105">
        <v>5.3</v>
      </c>
      <c r="E9" s="105">
        <v>2.5</v>
      </c>
      <c r="F9" s="106"/>
      <c r="G9" s="107">
        <v>2022</v>
      </c>
      <c r="AF9" s="9"/>
    </row>
    <row r="10" spans="1:32" ht="17">
      <c r="A10" s="103" t="s">
        <v>38</v>
      </c>
      <c r="B10" s="104">
        <v>6.9400000000000003E-2</v>
      </c>
      <c r="C10" s="105">
        <v>0.4</v>
      </c>
      <c r="D10" s="105">
        <v>7.2</v>
      </c>
      <c r="E10" s="105">
        <v>0.46</v>
      </c>
      <c r="F10" s="106"/>
      <c r="G10" s="107">
        <v>2022</v>
      </c>
      <c r="AF10" s="9"/>
    </row>
    <row r="11" spans="1:32" ht="17">
      <c r="A11" s="108" t="s">
        <v>103</v>
      </c>
      <c r="B11" s="109">
        <v>5.5032282567413597E-2</v>
      </c>
      <c r="C11" s="110">
        <v>0.3</v>
      </c>
      <c r="D11" s="110">
        <v>5.6</v>
      </c>
      <c r="E11" s="110">
        <v>0.34</v>
      </c>
      <c r="F11" s="106"/>
      <c r="G11" s="107">
        <v>2022</v>
      </c>
    </row>
    <row r="12" spans="1:32" ht="17">
      <c r="A12" s="108" t="s">
        <v>104</v>
      </c>
      <c r="B12" s="111">
        <v>0.128</v>
      </c>
      <c r="C12" s="110">
        <v>0.3</v>
      </c>
      <c r="D12" s="110">
        <v>4.5</v>
      </c>
      <c r="E12" s="110">
        <v>0.05</v>
      </c>
      <c r="F12" s="106"/>
      <c r="G12" s="107">
        <v>2022</v>
      </c>
    </row>
    <row r="13" spans="1:32" ht="17">
      <c r="A13" s="112" t="s">
        <v>34</v>
      </c>
      <c r="B13" s="113">
        <v>0.3214285714285714</v>
      </c>
      <c r="C13" s="114">
        <v>3.8</v>
      </c>
      <c r="D13" s="114">
        <v>14</v>
      </c>
      <c r="E13" s="114">
        <v>0.97</v>
      </c>
      <c r="F13" s="101">
        <f t="shared" ref="F13:F57" si="0">(E13-E4)/E4</f>
        <v>0.4477611940298506</v>
      </c>
      <c r="G13" s="102">
        <v>2023</v>
      </c>
    </row>
    <row r="14" spans="1:32" ht="17">
      <c r="A14" s="115" t="s">
        <v>17</v>
      </c>
      <c r="B14" s="113">
        <v>0.31666666666666665</v>
      </c>
      <c r="C14" s="114">
        <v>3.3</v>
      </c>
      <c r="D14" s="114">
        <v>12</v>
      </c>
      <c r="E14" s="114">
        <v>2.8</v>
      </c>
      <c r="F14" s="101">
        <f t="shared" si="0"/>
        <v>0.32075471698113195</v>
      </c>
      <c r="G14" s="102">
        <v>2023</v>
      </c>
    </row>
    <row r="15" spans="1:32" ht="17">
      <c r="A15" s="115" t="s">
        <v>35</v>
      </c>
      <c r="B15" s="113">
        <v>0.24675324675324672</v>
      </c>
      <c r="C15" s="114">
        <v>1.8</v>
      </c>
      <c r="D15" s="114">
        <v>7.7</v>
      </c>
      <c r="E15" s="114">
        <v>1.1100000000000001</v>
      </c>
      <c r="F15" s="101">
        <f t="shared" si="0"/>
        <v>0.56338028169014109</v>
      </c>
      <c r="G15" s="102">
        <v>2023</v>
      </c>
    </row>
    <row r="16" spans="1:32" ht="17">
      <c r="A16" s="98" t="s">
        <v>16</v>
      </c>
      <c r="B16" s="116">
        <v>0.11688311688311687</v>
      </c>
      <c r="C16" s="100">
        <v>0.8</v>
      </c>
      <c r="D16" s="100">
        <v>7.7</v>
      </c>
      <c r="E16" s="100">
        <v>1.42</v>
      </c>
      <c r="F16" s="101">
        <f t="shared" si="0"/>
        <v>0.35238095238095224</v>
      </c>
      <c r="G16" s="102">
        <v>2023</v>
      </c>
    </row>
    <row r="17" spans="1:7" ht="17">
      <c r="A17" s="103" t="s">
        <v>36</v>
      </c>
      <c r="B17" s="117">
        <v>0.15624999999999997</v>
      </c>
      <c r="C17" s="105">
        <v>0.8</v>
      </c>
      <c r="D17" s="105">
        <v>6.4</v>
      </c>
      <c r="E17" s="105">
        <v>0.41</v>
      </c>
      <c r="F17" s="106">
        <f t="shared" si="0"/>
        <v>0.78260869565217372</v>
      </c>
      <c r="G17" s="107">
        <v>2023</v>
      </c>
    </row>
    <row r="18" spans="1:7" ht="17">
      <c r="A18" s="103" t="s">
        <v>37</v>
      </c>
      <c r="B18" s="117">
        <v>0.13461538461538461</v>
      </c>
      <c r="C18" s="105">
        <v>0.7</v>
      </c>
      <c r="D18" s="105">
        <v>5.2</v>
      </c>
      <c r="E18" s="105">
        <v>4.71</v>
      </c>
      <c r="F18" s="106">
        <f t="shared" si="0"/>
        <v>0.88400000000000001</v>
      </c>
      <c r="G18" s="107">
        <v>2023</v>
      </c>
    </row>
    <row r="19" spans="1:7" ht="17">
      <c r="A19" s="103" t="s">
        <v>38</v>
      </c>
      <c r="B19" s="117">
        <v>0.10344827586206896</v>
      </c>
      <c r="C19" s="105">
        <v>0.6</v>
      </c>
      <c r="D19" s="105">
        <v>5.8</v>
      </c>
      <c r="E19" s="105">
        <v>0.82</v>
      </c>
      <c r="F19" s="106">
        <f t="shared" si="0"/>
        <v>0.78260869565217372</v>
      </c>
      <c r="G19" s="107">
        <v>2023</v>
      </c>
    </row>
    <row r="20" spans="1:7" ht="17">
      <c r="A20" s="108" t="s">
        <v>103</v>
      </c>
      <c r="B20" s="118">
        <v>0.1900712767287733</v>
      </c>
      <c r="C20" s="110">
        <v>0.5</v>
      </c>
      <c r="D20" s="110">
        <v>2.9</v>
      </c>
      <c r="E20" s="110">
        <v>1.04</v>
      </c>
      <c r="F20" s="106">
        <f t="shared" si="0"/>
        <v>2.0588235294117645</v>
      </c>
      <c r="G20" s="107">
        <v>2023</v>
      </c>
    </row>
    <row r="21" spans="1:7" ht="17">
      <c r="A21" s="108" t="s">
        <v>104</v>
      </c>
      <c r="B21" s="118">
        <v>0.21052631578947373</v>
      </c>
      <c r="C21" s="110">
        <v>0.4</v>
      </c>
      <c r="D21" s="110">
        <v>1.9</v>
      </c>
      <c r="E21" s="110">
        <v>1.63</v>
      </c>
      <c r="F21" s="106">
        <f t="shared" si="0"/>
        <v>31.599999999999994</v>
      </c>
      <c r="G21" s="107">
        <v>2023</v>
      </c>
    </row>
    <row r="22" spans="1:7" ht="17">
      <c r="A22" s="119" t="s">
        <v>34</v>
      </c>
      <c r="B22" s="94">
        <v>0.35802469135802467</v>
      </c>
      <c r="C22" s="95">
        <v>4.3</v>
      </c>
      <c r="D22" s="95">
        <v>16.2</v>
      </c>
      <c r="E22" s="95">
        <v>1.04</v>
      </c>
      <c r="F22" s="96">
        <f t="shared" si="0"/>
        <v>7.216494845360831E-2</v>
      </c>
      <c r="G22" s="97">
        <v>2024</v>
      </c>
    </row>
    <row r="23" spans="1:7" ht="17">
      <c r="A23" s="93" t="s">
        <v>17</v>
      </c>
      <c r="B23" s="94">
        <v>0.35537190082644632</v>
      </c>
      <c r="C23" s="95">
        <v>3.7</v>
      </c>
      <c r="D23" s="95">
        <v>12.1</v>
      </c>
      <c r="E23" s="95">
        <v>3.7</v>
      </c>
      <c r="F23" s="96">
        <f t="shared" si="0"/>
        <v>0.32142857142857156</v>
      </c>
      <c r="G23" s="97">
        <v>2024</v>
      </c>
    </row>
    <row r="24" spans="1:7" ht="17">
      <c r="A24" s="93" t="s">
        <v>35</v>
      </c>
      <c r="B24" s="94">
        <v>0.28947368421052638</v>
      </c>
      <c r="C24" s="95">
        <v>2.1</v>
      </c>
      <c r="D24" s="95">
        <v>7.6</v>
      </c>
      <c r="E24" s="95">
        <v>1.51</v>
      </c>
      <c r="F24" s="96">
        <f t="shared" si="0"/>
        <v>0.36036036036036023</v>
      </c>
      <c r="G24" s="97">
        <v>2024</v>
      </c>
    </row>
    <row r="25" spans="1:7" ht="17">
      <c r="A25" s="98" t="s">
        <v>16</v>
      </c>
      <c r="B25" s="99">
        <v>0.12359550561797754</v>
      </c>
      <c r="C25" s="100">
        <v>1</v>
      </c>
      <c r="D25" s="100">
        <v>8.9</v>
      </c>
      <c r="E25" s="100">
        <v>1.53</v>
      </c>
      <c r="F25" s="101">
        <f t="shared" si="0"/>
        <v>7.7464788732394443E-2</v>
      </c>
      <c r="G25" s="102">
        <v>2024</v>
      </c>
    </row>
    <row r="26" spans="1:7" ht="17">
      <c r="A26" s="103" t="s">
        <v>36</v>
      </c>
      <c r="B26" s="104">
        <v>0.18987341772151894</v>
      </c>
      <c r="C26" s="105">
        <v>1.2</v>
      </c>
      <c r="D26" s="105">
        <v>7.9</v>
      </c>
      <c r="E26" s="105">
        <v>0.49</v>
      </c>
      <c r="F26" s="106">
        <f t="shared" si="0"/>
        <v>0.19512195121951226</v>
      </c>
      <c r="G26" s="107">
        <v>2024</v>
      </c>
    </row>
    <row r="27" spans="1:7" ht="17">
      <c r="A27" s="103" t="s">
        <v>37</v>
      </c>
      <c r="B27" s="104">
        <v>0.17910447761194029</v>
      </c>
      <c r="C27" s="105">
        <v>1</v>
      </c>
      <c r="D27" s="105">
        <v>6.7</v>
      </c>
      <c r="E27" s="105">
        <v>5.74</v>
      </c>
      <c r="F27" s="106">
        <f t="shared" si="0"/>
        <v>0.21868365180467098</v>
      </c>
      <c r="G27" s="107">
        <v>2024</v>
      </c>
    </row>
    <row r="28" spans="1:7" ht="17">
      <c r="A28" s="103" t="s">
        <v>38</v>
      </c>
      <c r="B28" s="104">
        <v>0.13157894736842105</v>
      </c>
      <c r="C28" s="105">
        <v>0.9</v>
      </c>
      <c r="D28" s="105">
        <v>7.6</v>
      </c>
      <c r="E28" s="105">
        <v>1.03</v>
      </c>
      <c r="F28" s="106">
        <f t="shared" si="0"/>
        <v>0.25609756097560987</v>
      </c>
      <c r="G28" s="107">
        <v>2024</v>
      </c>
    </row>
    <row r="29" spans="1:7" ht="17">
      <c r="A29" s="108" t="s">
        <v>103</v>
      </c>
      <c r="B29" s="118">
        <v>0.15693512304250559</v>
      </c>
      <c r="C29" s="110">
        <v>0.9</v>
      </c>
      <c r="D29" s="110">
        <v>6.3</v>
      </c>
      <c r="E29" s="110">
        <v>0.97</v>
      </c>
      <c r="F29" s="106">
        <f t="shared" si="0"/>
        <v>-6.730769230769236E-2</v>
      </c>
      <c r="G29" s="107">
        <v>2024</v>
      </c>
    </row>
    <row r="30" spans="1:7" ht="17">
      <c r="A30" s="108" t="s">
        <v>104</v>
      </c>
      <c r="B30" s="118">
        <v>0.16086172982013919</v>
      </c>
      <c r="C30" s="110">
        <v>0.7</v>
      </c>
      <c r="D30" s="110">
        <v>4.4000000000000004</v>
      </c>
      <c r="E30" s="110">
        <v>1.55</v>
      </c>
      <c r="F30" s="106">
        <f t="shared" si="0"/>
        <v>-4.9079754601226905E-2</v>
      </c>
      <c r="G30" s="107">
        <v>2024</v>
      </c>
    </row>
    <row r="31" spans="1:7" ht="17">
      <c r="A31" s="119" t="s">
        <v>34</v>
      </c>
      <c r="B31" s="94">
        <v>0.29743589743589743</v>
      </c>
      <c r="C31" s="95">
        <v>5</v>
      </c>
      <c r="D31" s="95">
        <v>19.5</v>
      </c>
      <c r="E31" s="95">
        <v>0.97</v>
      </c>
      <c r="F31" s="96">
        <f t="shared" si="0"/>
        <v>-6.730769230769236E-2</v>
      </c>
      <c r="G31" s="97">
        <v>2025</v>
      </c>
    </row>
    <row r="32" spans="1:7" ht="17">
      <c r="A32" s="93" t="s">
        <v>17</v>
      </c>
      <c r="B32" s="94">
        <v>0.27814569536423844</v>
      </c>
      <c r="C32" s="95">
        <v>3.8</v>
      </c>
      <c r="D32" s="95">
        <v>15.1</v>
      </c>
      <c r="E32" s="95">
        <v>3.13</v>
      </c>
      <c r="F32" s="96">
        <f t="shared" si="0"/>
        <v>-0.15405405405405412</v>
      </c>
      <c r="G32" s="97">
        <v>2025</v>
      </c>
    </row>
    <row r="33" spans="1:7" ht="17">
      <c r="A33" s="93" t="s">
        <v>35</v>
      </c>
      <c r="B33" s="94">
        <v>0.22222222222222224</v>
      </c>
      <c r="C33" s="95">
        <v>2.8</v>
      </c>
      <c r="D33" s="95">
        <v>11.7</v>
      </c>
      <c r="E33" s="95">
        <v>1.21</v>
      </c>
      <c r="F33" s="96">
        <f t="shared" si="0"/>
        <v>-0.19867549668874174</v>
      </c>
      <c r="G33" s="97">
        <v>2025</v>
      </c>
    </row>
    <row r="34" spans="1:7" ht="17">
      <c r="A34" s="98" t="s">
        <v>16</v>
      </c>
      <c r="B34" s="99">
        <v>0.13333333333333333</v>
      </c>
      <c r="C34" s="100">
        <v>1.4</v>
      </c>
      <c r="D34" s="100">
        <v>12</v>
      </c>
      <c r="E34" s="100">
        <v>1.62</v>
      </c>
      <c r="F34" s="101">
        <f t="shared" si="0"/>
        <v>5.8823529411764754E-2</v>
      </c>
      <c r="G34" s="102">
        <v>2025</v>
      </c>
    </row>
    <row r="35" spans="1:7" ht="17">
      <c r="A35" s="103" t="s">
        <v>36</v>
      </c>
      <c r="B35" s="104">
        <v>0.18681318681318682</v>
      </c>
      <c r="C35" s="105">
        <v>1.4</v>
      </c>
      <c r="D35" s="105">
        <v>9.1</v>
      </c>
      <c r="E35" s="105">
        <v>0.53</v>
      </c>
      <c r="F35" s="106">
        <f t="shared" si="0"/>
        <v>8.1632653061224567E-2</v>
      </c>
      <c r="G35" s="107">
        <v>2025</v>
      </c>
    </row>
    <row r="36" spans="1:7" ht="17">
      <c r="A36" s="103" t="s">
        <v>37</v>
      </c>
      <c r="B36" s="104">
        <v>0.16666666666666666</v>
      </c>
      <c r="C36" s="105">
        <v>1.4</v>
      </c>
      <c r="D36" s="105">
        <v>9</v>
      </c>
      <c r="E36" s="105">
        <v>6.25</v>
      </c>
      <c r="F36" s="106">
        <f t="shared" si="0"/>
        <v>8.8850174216027838E-2</v>
      </c>
      <c r="G36" s="107">
        <v>2025</v>
      </c>
    </row>
    <row r="37" spans="1:7" ht="17">
      <c r="A37" s="103" t="s">
        <v>38</v>
      </c>
      <c r="B37" s="104">
        <v>0.1744186046511628</v>
      </c>
      <c r="C37" s="105">
        <v>1.1000000000000001</v>
      </c>
      <c r="D37" s="105">
        <v>8.6</v>
      </c>
      <c r="E37" s="105">
        <v>1.17</v>
      </c>
      <c r="F37" s="106">
        <f t="shared" si="0"/>
        <v>0.13592233009708729</v>
      </c>
      <c r="G37" s="107">
        <v>2025</v>
      </c>
    </row>
    <row r="38" spans="1:7" ht="17">
      <c r="A38" s="108" t="s">
        <v>103</v>
      </c>
      <c r="B38" s="118">
        <v>0.14484431463788922</v>
      </c>
      <c r="C38" s="110">
        <v>1</v>
      </c>
      <c r="D38" s="110">
        <v>7.5</v>
      </c>
      <c r="E38" s="110">
        <v>1.01</v>
      </c>
      <c r="F38" s="106">
        <f t="shared" si="0"/>
        <v>4.1237113402061897E-2</v>
      </c>
      <c r="G38" s="107">
        <v>2025</v>
      </c>
    </row>
    <row r="39" spans="1:7" ht="17">
      <c r="A39" s="108" t="s">
        <v>104</v>
      </c>
      <c r="B39" s="118">
        <v>9.1735092206218866E-2</v>
      </c>
      <c r="C39" s="110">
        <v>0.7</v>
      </c>
      <c r="D39" s="110">
        <v>7.7</v>
      </c>
      <c r="E39" s="110">
        <v>0.9</v>
      </c>
      <c r="F39" s="106">
        <f t="shared" si="0"/>
        <v>-0.41935483870967744</v>
      </c>
      <c r="G39" s="107">
        <v>2025</v>
      </c>
    </row>
    <row r="40" spans="1:7" ht="17">
      <c r="A40" s="119" t="s">
        <v>34</v>
      </c>
      <c r="B40" s="94">
        <v>0.29347826086956524</v>
      </c>
      <c r="C40" s="95">
        <v>4.7</v>
      </c>
      <c r="D40" s="95">
        <v>18.399999999999999</v>
      </c>
      <c r="E40" s="95">
        <v>1.02</v>
      </c>
      <c r="F40" s="96">
        <f t="shared" si="0"/>
        <v>5.1546391752577365E-2</v>
      </c>
      <c r="G40" s="97">
        <v>2026</v>
      </c>
    </row>
    <row r="41" spans="1:7" ht="17">
      <c r="A41" s="93" t="s">
        <v>17</v>
      </c>
      <c r="B41" s="94">
        <v>0.26712328767123289</v>
      </c>
      <c r="C41" s="95">
        <v>3.6</v>
      </c>
      <c r="D41" s="95">
        <v>14.6</v>
      </c>
      <c r="E41" s="95">
        <v>3.24</v>
      </c>
      <c r="F41" s="96">
        <f t="shared" si="0"/>
        <v>3.5143769968051221E-2</v>
      </c>
      <c r="G41" s="97">
        <v>2026</v>
      </c>
    </row>
    <row r="42" spans="1:7" ht="17">
      <c r="A42" s="93" t="s">
        <v>35</v>
      </c>
      <c r="B42" s="94">
        <v>0.20869565217391303</v>
      </c>
      <c r="C42" s="95">
        <v>2.6</v>
      </c>
      <c r="D42" s="95">
        <v>11.5</v>
      </c>
      <c r="E42" s="95">
        <v>1.23</v>
      </c>
      <c r="F42" s="96">
        <f t="shared" si="0"/>
        <v>1.6528925619834725E-2</v>
      </c>
      <c r="G42" s="97">
        <v>2026</v>
      </c>
    </row>
    <row r="43" spans="1:7" ht="17">
      <c r="A43" s="98" t="s">
        <v>16</v>
      </c>
      <c r="B43" s="99">
        <v>0.13761467889908255</v>
      </c>
      <c r="C43" s="100">
        <v>1.4</v>
      </c>
      <c r="D43" s="100">
        <v>10.9</v>
      </c>
      <c r="E43" s="100">
        <v>1.76</v>
      </c>
      <c r="F43" s="101">
        <f t="shared" si="0"/>
        <v>8.6419753086419693E-2</v>
      </c>
      <c r="G43" s="102">
        <v>2026</v>
      </c>
    </row>
    <row r="44" spans="1:7" ht="17">
      <c r="A44" s="103" t="s">
        <v>36</v>
      </c>
      <c r="B44" s="104">
        <v>0.186046511627907</v>
      </c>
      <c r="C44" s="105">
        <v>1.3</v>
      </c>
      <c r="D44" s="105">
        <v>8.6</v>
      </c>
      <c r="E44" s="105">
        <v>0.56000000000000005</v>
      </c>
      <c r="F44" s="106">
        <f t="shared" si="0"/>
        <v>5.660377358490571E-2</v>
      </c>
      <c r="G44" s="107">
        <v>2026</v>
      </c>
    </row>
    <row r="45" spans="1:7" ht="17">
      <c r="A45" s="103" t="s">
        <v>37</v>
      </c>
      <c r="B45" s="104">
        <v>0.16666666666666666</v>
      </c>
      <c r="C45" s="105">
        <v>1.3</v>
      </c>
      <c r="D45" s="105">
        <v>8.4</v>
      </c>
      <c r="E45" s="105">
        <v>6.72</v>
      </c>
      <c r="F45" s="106">
        <f t="shared" si="0"/>
        <v>7.5199999999999961E-2</v>
      </c>
      <c r="G45" s="107">
        <v>2026</v>
      </c>
    </row>
    <row r="46" spans="1:7" ht="17">
      <c r="A46" s="103" t="s">
        <v>38</v>
      </c>
      <c r="B46" s="104">
        <v>0.16470588235294117</v>
      </c>
      <c r="C46" s="105">
        <v>1.1000000000000001</v>
      </c>
      <c r="D46" s="105">
        <v>8.5</v>
      </c>
      <c r="E46" s="105">
        <v>1.19</v>
      </c>
      <c r="F46" s="106">
        <f t="shared" si="0"/>
        <v>1.709401709401711E-2</v>
      </c>
      <c r="G46" s="107">
        <v>2026</v>
      </c>
    </row>
    <row r="47" spans="1:7" ht="17">
      <c r="A47" s="108" t="s">
        <v>103</v>
      </c>
      <c r="B47" s="118">
        <v>0.1430397954291194</v>
      </c>
      <c r="C47" s="110">
        <v>1</v>
      </c>
      <c r="D47" s="110">
        <v>7.6</v>
      </c>
      <c r="E47" s="110">
        <v>0.99</v>
      </c>
      <c r="F47" s="106">
        <f t="shared" si="0"/>
        <v>-1.980198019801982E-2</v>
      </c>
      <c r="G47" s="107">
        <v>2026</v>
      </c>
    </row>
    <row r="48" spans="1:7" ht="17">
      <c r="A48" s="108" t="s">
        <v>104</v>
      </c>
      <c r="B48" s="118">
        <v>8.8347772594453269E-2</v>
      </c>
      <c r="C48" s="110">
        <v>0.7</v>
      </c>
      <c r="D48" s="110">
        <v>8</v>
      </c>
      <c r="E48" s="110">
        <v>0.87</v>
      </c>
      <c r="F48" s="106">
        <f t="shared" si="0"/>
        <v>-3.3333333333333361E-2</v>
      </c>
      <c r="G48" s="107">
        <v>2026</v>
      </c>
    </row>
    <row r="49" spans="1:7" ht="17">
      <c r="A49" s="119" t="s">
        <v>34</v>
      </c>
      <c r="B49" s="94">
        <v>0.2899408284023669</v>
      </c>
      <c r="C49" s="95">
        <v>4.3</v>
      </c>
      <c r="D49" s="95">
        <v>16.899999999999999</v>
      </c>
      <c r="E49" s="95">
        <v>1.1100000000000001</v>
      </c>
      <c r="F49" s="96">
        <f t="shared" si="0"/>
        <v>8.8235294117647134E-2</v>
      </c>
      <c r="G49" s="97">
        <v>2027</v>
      </c>
    </row>
    <row r="50" spans="1:7" ht="17">
      <c r="A50" s="93" t="s">
        <v>17</v>
      </c>
      <c r="B50" s="94">
        <v>0.25899280575539568</v>
      </c>
      <c r="C50" s="95">
        <v>3.4</v>
      </c>
      <c r="D50" s="95">
        <v>13.9</v>
      </c>
      <c r="E50" s="95">
        <v>3.42</v>
      </c>
      <c r="F50" s="96">
        <f t="shared" si="0"/>
        <v>5.5555555555555462E-2</v>
      </c>
      <c r="G50" s="97">
        <v>2027</v>
      </c>
    </row>
    <row r="51" spans="1:7" ht="17">
      <c r="A51" s="93" t="s">
        <v>35</v>
      </c>
      <c r="B51" s="94">
        <v>0.21100917431192659</v>
      </c>
      <c r="C51" s="95">
        <v>2.2000000000000002</v>
      </c>
      <c r="D51" s="95">
        <v>10.9</v>
      </c>
      <c r="E51" s="95">
        <v>1.29</v>
      </c>
      <c r="F51" s="96">
        <f t="shared" si="0"/>
        <v>4.8780487804878092E-2</v>
      </c>
      <c r="G51" s="97">
        <v>2027</v>
      </c>
    </row>
    <row r="52" spans="1:7" ht="17">
      <c r="A52" s="98" t="s">
        <v>16</v>
      </c>
      <c r="B52" s="99">
        <v>0.14285714285714285</v>
      </c>
      <c r="C52" s="100">
        <v>1.3</v>
      </c>
      <c r="D52" s="100">
        <v>10.5</v>
      </c>
      <c r="E52" s="100">
        <v>1.84</v>
      </c>
      <c r="F52" s="101">
        <f t="shared" si="0"/>
        <v>4.5454545454545497E-2</v>
      </c>
      <c r="G52" s="102">
        <v>2027</v>
      </c>
    </row>
    <row r="53" spans="1:7" ht="17">
      <c r="A53" s="103" t="s">
        <v>36</v>
      </c>
      <c r="B53" s="104">
        <v>0.19753086419753088</v>
      </c>
      <c r="C53" s="105">
        <v>1.3</v>
      </c>
      <c r="D53" s="105">
        <v>8.1</v>
      </c>
      <c r="E53" s="105">
        <v>0.6</v>
      </c>
      <c r="F53" s="106">
        <f t="shared" si="0"/>
        <v>7.1428571428571286E-2</v>
      </c>
      <c r="G53" s="107">
        <v>2027</v>
      </c>
    </row>
    <row r="54" spans="1:7" ht="17">
      <c r="A54" s="103" t="s">
        <v>37</v>
      </c>
      <c r="B54" s="104">
        <v>0.17105263157894737</v>
      </c>
      <c r="C54" s="105">
        <v>1.2</v>
      </c>
      <c r="D54" s="105">
        <v>7.6</v>
      </c>
      <c r="E54" s="105">
        <v>7.42</v>
      </c>
      <c r="F54" s="106">
        <f t="shared" si="0"/>
        <v>0.1041666666666667</v>
      </c>
      <c r="G54" s="107">
        <v>2027</v>
      </c>
    </row>
    <row r="55" spans="1:7" ht="17">
      <c r="A55" s="103" t="s">
        <v>38</v>
      </c>
      <c r="B55" s="104">
        <v>0.1728395061728395</v>
      </c>
      <c r="C55" s="105">
        <v>1.1000000000000001</v>
      </c>
      <c r="D55" s="105">
        <v>8.1</v>
      </c>
      <c r="E55" s="105">
        <v>1.25</v>
      </c>
      <c r="F55" s="106">
        <f t="shared" si="0"/>
        <v>5.0420168067226941E-2</v>
      </c>
      <c r="G55" s="107">
        <v>2027</v>
      </c>
    </row>
    <row r="56" spans="1:7" ht="17">
      <c r="A56" s="108" t="s">
        <v>103</v>
      </c>
      <c r="B56" s="118">
        <v>0.13290969300993466</v>
      </c>
      <c r="C56" s="110">
        <v>0.9</v>
      </c>
      <c r="D56" s="110">
        <v>7.3</v>
      </c>
      <c r="E56" s="110">
        <v>1.04</v>
      </c>
      <c r="F56" s="106">
        <f t="shared" si="0"/>
        <v>5.0505050505050553E-2</v>
      </c>
      <c r="G56" s="107">
        <v>2027</v>
      </c>
    </row>
    <row r="57" spans="1:7" ht="17">
      <c r="A57" s="108" t="s">
        <v>104</v>
      </c>
      <c r="B57" s="118">
        <v>9.2962769573313106E-2</v>
      </c>
      <c r="C57" s="110">
        <v>0.7</v>
      </c>
      <c r="D57" s="110">
        <v>7.6</v>
      </c>
      <c r="E57" s="110">
        <v>0.92</v>
      </c>
      <c r="F57" s="106">
        <f t="shared" si="0"/>
        <v>5.7471264367816147E-2</v>
      </c>
      <c r="G57" s="107">
        <v>2027</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Indice</vt:lpstr>
      <vt:lpstr>Performance di Mercato</vt:lpstr>
      <vt:lpstr>Drivers di valutazione</vt:lpstr>
      <vt:lpstr>OPS su BG</vt:lpstr>
      <vt:lpstr>Fonti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2025-06-19T11:48:36Z</dcterms:created>
  <dcterms:modified xsi:type="dcterms:W3CDTF">2026-03-10T11:57:02Z</dcterms:modified>
</cp:coreProperties>
</file>